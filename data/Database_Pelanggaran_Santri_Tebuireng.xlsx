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hasan\Downloads\"/>
    </mc:Choice>
  </mc:AlternateContent>
  <xr:revisionPtr revIDLastSave="0" documentId="13_ncr:1_{63427FBC-6354-48F9-A7BB-3D220FF3BCD9}" xr6:coauthVersionLast="45" xr6:coauthVersionMax="45" xr10:uidLastSave="{00000000-0000-0000-0000-000000000000}"/>
  <bookViews>
    <workbookView xWindow="-120" yWindow="-120" windowWidth="29040" windowHeight="15720" tabRatio="500" xr2:uid="{00000000-000D-0000-FFFF-FFFF00000000}"/>
  </bookViews>
  <sheets>
    <sheet name="Master Pelanggaran" sheetId="1" r:id="rId1"/>
    <sheet name="Tabel Sanksi" sheetId="2" r:id="rId2"/>
    <sheet name="Input Pelanggaran Santri" sheetId="3" r:id="rId3"/>
    <sheet name="Panduan Penggunaan" sheetId="4" r:id="rId4"/>
  </sheets>
  <calcPr calcId="191029" iterateDelta="1E-4"/>
  <extLst>
    <ext xmlns:xcalcf="http://schemas.microsoft.com/office/spreadsheetml/2018/calcfeatures" uri="{B58B0392-4F1F-4190-BB64-5DF3571DCE5F}">
      <xcalcf:calcFeatures>
        <xcalcf:feature name="microsoft.com:RD"/>
        <xcalcf:feature name="microsoft.com:FV"/>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204" i="3" l="1"/>
  <c r="L204" i="3" s="1"/>
  <c r="J204" i="3"/>
  <c r="I204" i="3"/>
  <c r="H204" i="3"/>
  <c r="A204" i="3"/>
  <c r="K203" i="3"/>
  <c r="L203" i="3" s="1"/>
  <c r="J203" i="3"/>
  <c r="I203" i="3"/>
  <c r="H203" i="3"/>
  <c r="A203" i="3"/>
  <c r="L202" i="3"/>
  <c r="K202" i="3"/>
  <c r="J202" i="3"/>
  <c r="I202" i="3"/>
  <c r="H202" i="3"/>
  <c r="A202" i="3"/>
  <c r="K201" i="3"/>
  <c r="L201" i="3" s="1"/>
  <c r="J201" i="3"/>
  <c r="I201" i="3"/>
  <c r="H201" i="3"/>
  <c r="A201" i="3"/>
  <c r="K200" i="3"/>
  <c r="L200" i="3" s="1"/>
  <c r="J200" i="3"/>
  <c r="I200" i="3"/>
  <c r="H200" i="3"/>
  <c r="A200" i="3"/>
  <c r="L199" i="3"/>
  <c r="K199" i="3"/>
  <c r="J199" i="3"/>
  <c r="I199" i="3"/>
  <c r="H199" i="3"/>
  <c r="A199" i="3"/>
  <c r="L198" i="3"/>
  <c r="K198" i="3"/>
  <c r="J198" i="3"/>
  <c r="I198" i="3"/>
  <c r="H198" i="3"/>
  <c r="A198" i="3"/>
  <c r="K197" i="3"/>
  <c r="L197" i="3" s="1"/>
  <c r="J197" i="3"/>
  <c r="I197" i="3"/>
  <c r="H197" i="3"/>
  <c r="A197" i="3"/>
  <c r="K196" i="3"/>
  <c r="L196" i="3" s="1"/>
  <c r="J196" i="3"/>
  <c r="I196" i="3"/>
  <c r="H196" i="3"/>
  <c r="A196" i="3"/>
  <c r="L195" i="3"/>
  <c r="K195" i="3"/>
  <c r="J195" i="3"/>
  <c r="I195" i="3"/>
  <c r="H195" i="3"/>
  <c r="A195" i="3"/>
  <c r="L194" i="3"/>
  <c r="K194" i="3"/>
  <c r="J194" i="3"/>
  <c r="I194" i="3"/>
  <c r="H194" i="3"/>
  <c r="A194" i="3"/>
  <c r="K193" i="3"/>
  <c r="L193" i="3" s="1"/>
  <c r="J193" i="3"/>
  <c r="I193" i="3"/>
  <c r="H193" i="3"/>
  <c r="A193" i="3"/>
  <c r="K192" i="3"/>
  <c r="L192" i="3" s="1"/>
  <c r="J192" i="3"/>
  <c r="I192" i="3"/>
  <c r="H192" i="3"/>
  <c r="A192" i="3"/>
  <c r="L191" i="3"/>
  <c r="K191" i="3"/>
  <c r="J191" i="3"/>
  <c r="I191" i="3"/>
  <c r="H191" i="3"/>
  <c r="A191" i="3"/>
  <c r="L190" i="3"/>
  <c r="K190" i="3"/>
  <c r="J190" i="3"/>
  <c r="I190" i="3"/>
  <c r="H190" i="3"/>
  <c r="A190" i="3"/>
  <c r="K189" i="3"/>
  <c r="L189" i="3" s="1"/>
  <c r="J189" i="3"/>
  <c r="I189" i="3"/>
  <c r="H189" i="3"/>
  <c r="A189" i="3"/>
  <c r="K188" i="3"/>
  <c r="L188" i="3" s="1"/>
  <c r="J188" i="3"/>
  <c r="I188" i="3"/>
  <c r="H188" i="3"/>
  <c r="A188" i="3"/>
  <c r="L187" i="3"/>
  <c r="K187" i="3"/>
  <c r="J187" i="3"/>
  <c r="I187" i="3"/>
  <c r="H187" i="3"/>
  <c r="A187" i="3"/>
  <c r="L186" i="3"/>
  <c r="K186" i="3"/>
  <c r="J186" i="3"/>
  <c r="I186" i="3"/>
  <c r="H186" i="3"/>
  <c r="A186" i="3"/>
  <c r="K185" i="3"/>
  <c r="L185" i="3" s="1"/>
  <c r="J185" i="3"/>
  <c r="I185" i="3"/>
  <c r="H185" i="3"/>
  <c r="A185" i="3"/>
  <c r="K184" i="3"/>
  <c r="L184" i="3" s="1"/>
  <c r="J184" i="3"/>
  <c r="I184" i="3"/>
  <c r="H184" i="3"/>
  <c r="A184" i="3"/>
  <c r="L183" i="3"/>
  <c r="K183" i="3"/>
  <c r="J183" i="3"/>
  <c r="I183" i="3"/>
  <c r="H183" i="3"/>
  <c r="A183" i="3"/>
  <c r="L182" i="3"/>
  <c r="K182" i="3"/>
  <c r="J182" i="3"/>
  <c r="I182" i="3"/>
  <c r="H182" i="3"/>
  <c r="A182" i="3"/>
  <c r="K181" i="3"/>
  <c r="L181" i="3" s="1"/>
  <c r="J181" i="3"/>
  <c r="I181" i="3"/>
  <c r="H181" i="3"/>
  <c r="A181" i="3"/>
  <c r="K180" i="3"/>
  <c r="L180" i="3" s="1"/>
  <c r="J180" i="3"/>
  <c r="I180" i="3"/>
  <c r="H180" i="3"/>
  <c r="A180" i="3"/>
  <c r="L179" i="3"/>
  <c r="K179" i="3"/>
  <c r="J179" i="3"/>
  <c r="I179" i="3"/>
  <c r="H179" i="3"/>
  <c r="A179" i="3"/>
  <c r="L178" i="3"/>
  <c r="K178" i="3"/>
  <c r="J178" i="3"/>
  <c r="I178" i="3"/>
  <c r="H178" i="3"/>
  <c r="A178" i="3"/>
  <c r="K177" i="3"/>
  <c r="L177" i="3" s="1"/>
  <c r="J177" i="3"/>
  <c r="I177" i="3"/>
  <c r="H177" i="3"/>
  <c r="A177" i="3"/>
  <c r="K176" i="3"/>
  <c r="L176" i="3" s="1"/>
  <c r="J176" i="3"/>
  <c r="I176" i="3"/>
  <c r="H176" i="3"/>
  <c r="A176" i="3"/>
  <c r="L175" i="3"/>
  <c r="K175" i="3"/>
  <c r="J175" i="3"/>
  <c r="I175" i="3"/>
  <c r="H175" i="3"/>
  <c r="A175" i="3"/>
  <c r="L174" i="3"/>
  <c r="K174" i="3"/>
  <c r="J174" i="3"/>
  <c r="I174" i="3"/>
  <c r="H174" i="3"/>
  <c r="A174" i="3"/>
  <c r="L173" i="3"/>
  <c r="K173" i="3"/>
  <c r="J173" i="3"/>
  <c r="I173" i="3"/>
  <c r="H173" i="3"/>
  <c r="A173" i="3"/>
  <c r="K172" i="3"/>
  <c r="L172" i="3" s="1"/>
  <c r="J172" i="3"/>
  <c r="I172" i="3"/>
  <c r="H172" i="3"/>
  <c r="A172" i="3"/>
  <c r="L171" i="3"/>
  <c r="K171" i="3"/>
  <c r="J171" i="3"/>
  <c r="I171" i="3"/>
  <c r="H171" i="3"/>
  <c r="A171" i="3"/>
  <c r="L170" i="3"/>
  <c r="K170" i="3"/>
  <c r="J170" i="3"/>
  <c r="I170" i="3"/>
  <c r="H170" i="3"/>
  <c r="A170" i="3"/>
  <c r="L169" i="3"/>
  <c r="K169" i="3"/>
  <c r="J169" i="3"/>
  <c r="I169" i="3"/>
  <c r="H169" i="3"/>
  <c r="A169" i="3"/>
  <c r="K168" i="3"/>
  <c r="L168" i="3" s="1"/>
  <c r="J168" i="3"/>
  <c r="I168" i="3"/>
  <c r="H168" i="3"/>
  <c r="A168" i="3"/>
  <c r="L167" i="3"/>
  <c r="K167" i="3"/>
  <c r="J167" i="3"/>
  <c r="I167" i="3"/>
  <c r="H167" i="3"/>
  <c r="A167" i="3"/>
  <c r="L166" i="3"/>
  <c r="K166" i="3"/>
  <c r="J166" i="3"/>
  <c r="I166" i="3"/>
  <c r="H166" i="3"/>
  <c r="A166" i="3"/>
  <c r="L165" i="3"/>
  <c r="K165" i="3"/>
  <c r="J165" i="3"/>
  <c r="I165" i="3"/>
  <c r="H165" i="3"/>
  <c r="A165" i="3"/>
  <c r="K164" i="3"/>
  <c r="L164" i="3" s="1"/>
  <c r="J164" i="3"/>
  <c r="I164" i="3"/>
  <c r="H164" i="3"/>
  <c r="A164" i="3"/>
  <c r="L163" i="3"/>
  <c r="K163" i="3"/>
  <c r="J163" i="3"/>
  <c r="I163" i="3"/>
  <c r="H163" i="3"/>
  <c r="A163" i="3"/>
  <c r="L162" i="3"/>
  <c r="K162" i="3"/>
  <c r="J162" i="3"/>
  <c r="I162" i="3"/>
  <c r="H162" i="3"/>
  <c r="A162" i="3"/>
  <c r="L161" i="3"/>
  <c r="K161" i="3"/>
  <c r="J161" i="3"/>
  <c r="I161" i="3"/>
  <c r="H161" i="3"/>
  <c r="A161" i="3"/>
  <c r="K160" i="3"/>
  <c r="L160" i="3" s="1"/>
  <c r="J160" i="3"/>
  <c r="I160" i="3"/>
  <c r="H160" i="3"/>
  <c r="A160" i="3"/>
  <c r="L159" i="3"/>
  <c r="K159" i="3"/>
  <c r="J159" i="3"/>
  <c r="I159" i="3"/>
  <c r="H159" i="3"/>
  <c r="A159" i="3"/>
  <c r="L158" i="3"/>
  <c r="K158" i="3"/>
  <c r="J158" i="3"/>
  <c r="I158" i="3"/>
  <c r="H158" i="3"/>
  <c r="A158" i="3"/>
  <c r="L157" i="3"/>
  <c r="K157" i="3"/>
  <c r="J157" i="3"/>
  <c r="I157" i="3"/>
  <c r="H157" i="3"/>
  <c r="A157" i="3"/>
  <c r="K156" i="3"/>
  <c r="L156" i="3" s="1"/>
  <c r="J156" i="3"/>
  <c r="I156" i="3"/>
  <c r="H156" i="3"/>
  <c r="A156" i="3"/>
  <c r="L155" i="3"/>
  <c r="K155" i="3"/>
  <c r="J155" i="3"/>
  <c r="I155" i="3"/>
  <c r="H155" i="3"/>
  <c r="A155" i="3"/>
  <c r="L154" i="3"/>
  <c r="K154" i="3"/>
  <c r="J154" i="3"/>
  <c r="I154" i="3"/>
  <c r="H154" i="3"/>
  <c r="A154" i="3"/>
  <c r="L153" i="3"/>
  <c r="K153" i="3"/>
  <c r="J153" i="3"/>
  <c r="I153" i="3"/>
  <c r="H153" i="3"/>
  <c r="A153" i="3"/>
  <c r="K152" i="3"/>
  <c r="L152" i="3" s="1"/>
  <c r="J152" i="3"/>
  <c r="I152" i="3"/>
  <c r="H152" i="3"/>
  <c r="A152" i="3"/>
  <c r="L151" i="3"/>
  <c r="K151" i="3"/>
  <c r="J151" i="3"/>
  <c r="I151" i="3"/>
  <c r="H151" i="3"/>
  <c r="A151" i="3"/>
  <c r="L150" i="3"/>
  <c r="K150" i="3"/>
  <c r="J150" i="3"/>
  <c r="I150" i="3"/>
  <c r="H150" i="3"/>
  <c r="A150" i="3"/>
  <c r="L149" i="3"/>
  <c r="K149" i="3"/>
  <c r="J149" i="3"/>
  <c r="I149" i="3"/>
  <c r="H149" i="3"/>
  <c r="A149" i="3"/>
  <c r="K148" i="3"/>
  <c r="L148" i="3" s="1"/>
  <c r="J148" i="3"/>
  <c r="I148" i="3"/>
  <c r="H148" i="3"/>
  <c r="A148" i="3"/>
  <c r="L147" i="3"/>
  <c r="K147" i="3"/>
  <c r="J147" i="3"/>
  <c r="I147" i="3"/>
  <c r="H147" i="3"/>
  <c r="A147" i="3"/>
  <c r="L146" i="3"/>
  <c r="K146" i="3"/>
  <c r="J146" i="3"/>
  <c r="I146" i="3"/>
  <c r="H146" i="3"/>
  <c r="A146" i="3"/>
  <c r="L145" i="3"/>
  <c r="K145" i="3"/>
  <c r="J145" i="3"/>
  <c r="I145" i="3"/>
  <c r="H145" i="3"/>
  <c r="A145" i="3"/>
  <c r="K144" i="3"/>
  <c r="L144" i="3" s="1"/>
  <c r="J144" i="3"/>
  <c r="I144" i="3"/>
  <c r="H144" i="3"/>
  <c r="A144" i="3"/>
  <c r="L143" i="3"/>
  <c r="K143" i="3"/>
  <c r="J143" i="3"/>
  <c r="I143" i="3"/>
  <c r="H143" i="3"/>
  <c r="A143" i="3"/>
  <c r="L142" i="3"/>
  <c r="K142" i="3"/>
  <c r="J142" i="3"/>
  <c r="I142" i="3"/>
  <c r="H142" i="3"/>
  <c r="A142" i="3"/>
  <c r="L141" i="3"/>
  <c r="K141" i="3"/>
  <c r="J141" i="3"/>
  <c r="I141" i="3"/>
  <c r="H141" i="3"/>
  <c r="A141" i="3"/>
  <c r="K140" i="3"/>
  <c r="L140" i="3" s="1"/>
  <c r="J140" i="3"/>
  <c r="I140" i="3"/>
  <c r="H140" i="3"/>
  <c r="A140" i="3"/>
  <c r="L139" i="3"/>
  <c r="K139" i="3"/>
  <c r="J139" i="3"/>
  <c r="I139" i="3"/>
  <c r="H139" i="3"/>
  <c r="A139" i="3"/>
  <c r="L138" i="3"/>
  <c r="K138" i="3"/>
  <c r="J138" i="3"/>
  <c r="I138" i="3"/>
  <c r="H138" i="3"/>
  <c r="A138" i="3"/>
  <c r="L137" i="3"/>
  <c r="K137" i="3"/>
  <c r="J137" i="3"/>
  <c r="I137" i="3"/>
  <c r="H137" i="3"/>
  <c r="A137" i="3"/>
  <c r="K136" i="3"/>
  <c r="L136" i="3" s="1"/>
  <c r="J136" i="3"/>
  <c r="I136" i="3"/>
  <c r="H136" i="3"/>
  <c r="A136" i="3"/>
  <c r="L135" i="3"/>
  <c r="K135" i="3"/>
  <c r="J135" i="3"/>
  <c r="I135" i="3"/>
  <c r="H135" i="3"/>
  <c r="A135" i="3"/>
  <c r="L134" i="3"/>
  <c r="K134" i="3"/>
  <c r="J134" i="3"/>
  <c r="I134" i="3"/>
  <c r="H134" i="3"/>
  <c r="A134" i="3"/>
  <c r="L133" i="3"/>
  <c r="K133" i="3"/>
  <c r="J133" i="3"/>
  <c r="I133" i="3"/>
  <c r="H133" i="3"/>
  <c r="A133" i="3"/>
  <c r="K132" i="3"/>
  <c r="L132" i="3" s="1"/>
  <c r="J132" i="3"/>
  <c r="I132" i="3"/>
  <c r="H132" i="3"/>
  <c r="A132" i="3"/>
  <c r="L131" i="3"/>
  <c r="K131" i="3"/>
  <c r="J131" i="3"/>
  <c r="I131" i="3"/>
  <c r="H131" i="3"/>
  <c r="A131" i="3"/>
  <c r="L130" i="3"/>
  <c r="K130" i="3"/>
  <c r="J130" i="3"/>
  <c r="I130" i="3"/>
  <c r="H130" i="3"/>
  <c r="A130" i="3"/>
  <c r="L129" i="3"/>
  <c r="K129" i="3"/>
  <c r="J129" i="3"/>
  <c r="I129" i="3"/>
  <c r="H129" i="3"/>
  <c r="A129" i="3"/>
  <c r="K128" i="3"/>
  <c r="L128" i="3" s="1"/>
  <c r="J128" i="3"/>
  <c r="I128" i="3"/>
  <c r="H128" i="3"/>
  <c r="A128" i="3"/>
  <c r="L127" i="3"/>
  <c r="K127" i="3"/>
  <c r="J127" i="3"/>
  <c r="I127" i="3"/>
  <c r="H127" i="3"/>
  <c r="A127" i="3"/>
  <c r="L126" i="3"/>
  <c r="K126" i="3"/>
  <c r="J126" i="3"/>
  <c r="I126" i="3"/>
  <c r="H126" i="3"/>
  <c r="A126" i="3"/>
  <c r="L125" i="3"/>
  <c r="K125" i="3"/>
  <c r="J125" i="3"/>
  <c r="I125" i="3"/>
  <c r="H125" i="3"/>
  <c r="A125" i="3"/>
  <c r="K124" i="3"/>
  <c r="L124" i="3" s="1"/>
  <c r="J124" i="3"/>
  <c r="I124" i="3"/>
  <c r="H124" i="3"/>
  <c r="A124" i="3"/>
  <c r="L123" i="3"/>
  <c r="K123" i="3"/>
  <c r="J123" i="3"/>
  <c r="I123" i="3"/>
  <c r="H123" i="3"/>
  <c r="A123" i="3"/>
  <c r="L122" i="3"/>
  <c r="K122" i="3"/>
  <c r="J122" i="3"/>
  <c r="I122" i="3"/>
  <c r="H122" i="3"/>
  <c r="A122" i="3"/>
  <c r="L121" i="3"/>
  <c r="K121" i="3"/>
  <c r="J121" i="3"/>
  <c r="I121" i="3"/>
  <c r="H121" i="3"/>
  <c r="A121" i="3"/>
  <c r="K120" i="3"/>
  <c r="L120" i="3" s="1"/>
  <c r="J120" i="3"/>
  <c r="I120" i="3"/>
  <c r="H120" i="3"/>
  <c r="A120" i="3"/>
  <c r="L119" i="3"/>
  <c r="K119" i="3"/>
  <c r="J119" i="3"/>
  <c r="I119" i="3"/>
  <c r="H119" i="3"/>
  <c r="A119" i="3"/>
  <c r="L118" i="3"/>
  <c r="K118" i="3"/>
  <c r="J118" i="3"/>
  <c r="I118" i="3"/>
  <c r="H118" i="3"/>
  <c r="A118" i="3"/>
  <c r="L117" i="3"/>
  <c r="K117" i="3"/>
  <c r="J117" i="3"/>
  <c r="I117" i="3"/>
  <c r="H117" i="3"/>
  <c r="A117" i="3"/>
  <c r="K116" i="3"/>
  <c r="L116" i="3" s="1"/>
  <c r="J116" i="3"/>
  <c r="I116" i="3"/>
  <c r="H116" i="3"/>
  <c r="A116" i="3"/>
  <c r="L115" i="3"/>
  <c r="K115" i="3"/>
  <c r="J115" i="3"/>
  <c r="I115" i="3"/>
  <c r="H115" i="3"/>
  <c r="A115" i="3"/>
  <c r="L114" i="3"/>
  <c r="K114" i="3"/>
  <c r="J114" i="3"/>
  <c r="I114" i="3"/>
  <c r="H114" i="3"/>
  <c r="A114" i="3"/>
  <c r="L113" i="3"/>
  <c r="K113" i="3"/>
  <c r="J113" i="3"/>
  <c r="I113" i="3"/>
  <c r="H113" i="3"/>
  <c r="A113" i="3"/>
  <c r="K112" i="3"/>
  <c r="L112" i="3" s="1"/>
  <c r="J112" i="3"/>
  <c r="I112" i="3"/>
  <c r="H112" i="3"/>
  <c r="A112" i="3"/>
  <c r="L111" i="3"/>
  <c r="K111" i="3"/>
  <c r="J111" i="3"/>
  <c r="I111" i="3"/>
  <c r="H111" i="3"/>
  <c r="A111" i="3"/>
  <c r="L110" i="3"/>
  <c r="K110" i="3"/>
  <c r="J110" i="3"/>
  <c r="I110" i="3"/>
  <c r="H110" i="3"/>
  <c r="A110" i="3"/>
  <c r="L109" i="3"/>
  <c r="K109" i="3"/>
  <c r="J109" i="3"/>
  <c r="I109" i="3"/>
  <c r="H109" i="3"/>
  <c r="A109" i="3"/>
  <c r="K108" i="3"/>
  <c r="L108" i="3" s="1"/>
  <c r="J108" i="3"/>
  <c r="I108" i="3"/>
  <c r="H108" i="3"/>
  <c r="A108" i="3"/>
  <c r="L107" i="3"/>
  <c r="K107" i="3"/>
  <c r="J107" i="3"/>
  <c r="I107" i="3"/>
  <c r="H107" i="3"/>
  <c r="A107" i="3"/>
  <c r="L106" i="3"/>
  <c r="K106" i="3"/>
  <c r="J106" i="3"/>
  <c r="I106" i="3"/>
  <c r="H106" i="3"/>
  <c r="A106" i="3"/>
  <c r="L105" i="3"/>
  <c r="K105" i="3"/>
  <c r="J105" i="3"/>
  <c r="I105" i="3"/>
  <c r="H105" i="3"/>
  <c r="A105" i="3"/>
  <c r="K104" i="3"/>
  <c r="L104" i="3" s="1"/>
  <c r="J104" i="3"/>
  <c r="I104" i="3"/>
  <c r="H104" i="3"/>
  <c r="A104" i="3"/>
  <c r="L103" i="3"/>
  <c r="K103" i="3"/>
  <c r="J103" i="3"/>
  <c r="I103" i="3"/>
  <c r="H103" i="3"/>
  <c r="A103" i="3"/>
  <c r="L102" i="3"/>
  <c r="K102" i="3"/>
  <c r="J102" i="3"/>
  <c r="I102" i="3"/>
  <c r="H102" i="3"/>
  <c r="A102" i="3"/>
  <c r="L101" i="3"/>
  <c r="K101" i="3"/>
  <c r="J101" i="3"/>
  <c r="I101" i="3"/>
  <c r="H101" i="3"/>
  <c r="A101" i="3"/>
  <c r="K100" i="3"/>
  <c r="L100" i="3" s="1"/>
  <c r="J100" i="3"/>
  <c r="I100" i="3"/>
  <c r="H100" i="3"/>
  <c r="A100" i="3"/>
  <c r="L99" i="3"/>
  <c r="K99" i="3"/>
  <c r="J99" i="3"/>
  <c r="I99" i="3"/>
  <c r="H99" i="3"/>
  <c r="A99" i="3"/>
  <c r="L98" i="3"/>
  <c r="K98" i="3"/>
  <c r="J98" i="3"/>
  <c r="I98" i="3"/>
  <c r="H98" i="3"/>
  <c r="A98" i="3"/>
  <c r="L97" i="3"/>
  <c r="K97" i="3"/>
  <c r="J97" i="3"/>
  <c r="I97" i="3"/>
  <c r="H97" i="3"/>
  <c r="A97" i="3"/>
  <c r="K96" i="3"/>
  <c r="L96" i="3" s="1"/>
  <c r="J96" i="3"/>
  <c r="I96" i="3"/>
  <c r="H96" i="3"/>
  <c r="A96" i="3"/>
  <c r="L95" i="3"/>
  <c r="K95" i="3"/>
  <c r="J95" i="3"/>
  <c r="I95" i="3"/>
  <c r="H95" i="3"/>
  <c r="A95" i="3"/>
  <c r="L94" i="3"/>
  <c r="K94" i="3"/>
  <c r="J94" i="3"/>
  <c r="I94" i="3"/>
  <c r="H94" i="3"/>
  <c r="A94" i="3"/>
  <c r="L93" i="3"/>
  <c r="K93" i="3"/>
  <c r="J93" i="3"/>
  <c r="I93" i="3"/>
  <c r="H93" i="3"/>
  <c r="A93" i="3"/>
  <c r="K92" i="3"/>
  <c r="L92" i="3" s="1"/>
  <c r="J92" i="3"/>
  <c r="I92" i="3"/>
  <c r="H92" i="3"/>
  <c r="A92" i="3"/>
  <c r="L91" i="3"/>
  <c r="K91" i="3"/>
  <c r="J91" i="3"/>
  <c r="I91" i="3"/>
  <c r="H91" i="3"/>
  <c r="A91" i="3"/>
  <c r="L90" i="3"/>
  <c r="K90" i="3"/>
  <c r="J90" i="3"/>
  <c r="I90" i="3"/>
  <c r="H90" i="3"/>
  <c r="A90" i="3"/>
  <c r="L89" i="3"/>
  <c r="K89" i="3"/>
  <c r="J89" i="3"/>
  <c r="I89" i="3"/>
  <c r="H89" i="3"/>
  <c r="A89" i="3"/>
  <c r="K88" i="3"/>
  <c r="L88" i="3" s="1"/>
  <c r="J88" i="3"/>
  <c r="I88" i="3"/>
  <c r="H88" i="3"/>
  <c r="A88" i="3"/>
  <c r="L87" i="3"/>
  <c r="K87" i="3"/>
  <c r="J87" i="3"/>
  <c r="I87" i="3"/>
  <c r="H87" i="3"/>
  <c r="A87" i="3"/>
  <c r="L86" i="3"/>
  <c r="K86" i="3"/>
  <c r="J86" i="3"/>
  <c r="I86" i="3"/>
  <c r="H86" i="3"/>
  <c r="A86" i="3"/>
  <c r="L85" i="3"/>
  <c r="K85" i="3"/>
  <c r="J85" i="3"/>
  <c r="I85" i="3"/>
  <c r="H85" i="3"/>
  <c r="A85" i="3"/>
  <c r="K84" i="3"/>
  <c r="L84" i="3" s="1"/>
  <c r="J84" i="3"/>
  <c r="I84" i="3"/>
  <c r="H84" i="3"/>
  <c r="A84" i="3"/>
  <c r="L83" i="3"/>
  <c r="K83" i="3"/>
  <c r="J83" i="3"/>
  <c r="I83" i="3"/>
  <c r="H83" i="3"/>
  <c r="A83" i="3"/>
  <c r="L82" i="3"/>
  <c r="K82" i="3"/>
  <c r="J82" i="3"/>
  <c r="I82" i="3"/>
  <c r="H82" i="3"/>
  <c r="A82" i="3"/>
  <c r="L81" i="3"/>
  <c r="K81" i="3"/>
  <c r="J81" i="3"/>
  <c r="I81" i="3"/>
  <c r="H81" i="3"/>
  <c r="A81" i="3"/>
  <c r="K80" i="3"/>
  <c r="L80" i="3" s="1"/>
  <c r="J80" i="3"/>
  <c r="I80" i="3"/>
  <c r="H80" i="3"/>
  <c r="A80" i="3"/>
  <c r="L79" i="3"/>
  <c r="K79" i="3"/>
  <c r="J79" i="3"/>
  <c r="I79" i="3"/>
  <c r="H79" i="3"/>
  <c r="A79" i="3"/>
  <c r="L78" i="3"/>
  <c r="K78" i="3"/>
  <c r="J78" i="3"/>
  <c r="I78" i="3"/>
  <c r="H78" i="3"/>
  <c r="A78" i="3"/>
  <c r="L77" i="3"/>
  <c r="K77" i="3"/>
  <c r="J77" i="3"/>
  <c r="I77" i="3"/>
  <c r="H77" i="3"/>
  <c r="A77" i="3"/>
  <c r="K76" i="3"/>
  <c r="L76" i="3" s="1"/>
  <c r="J76" i="3"/>
  <c r="I76" i="3"/>
  <c r="H76" i="3"/>
  <c r="A76" i="3"/>
  <c r="L75" i="3"/>
  <c r="K75" i="3"/>
  <c r="J75" i="3"/>
  <c r="I75" i="3"/>
  <c r="H75" i="3"/>
  <c r="A75" i="3"/>
  <c r="L74" i="3"/>
  <c r="K74" i="3"/>
  <c r="J74" i="3"/>
  <c r="I74" i="3"/>
  <c r="H74" i="3"/>
  <c r="A74" i="3"/>
  <c r="L73" i="3"/>
  <c r="K73" i="3"/>
  <c r="J73" i="3"/>
  <c r="I73" i="3"/>
  <c r="H73" i="3"/>
  <c r="A73" i="3"/>
  <c r="K72" i="3"/>
  <c r="L72" i="3" s="1"/>
  <c r="J72" i="3"/>
  <c r="I72" i="3"/>
  <c r="H72" i="3"/>
  <c r="A72" i="3"/>
  <c r="L71" i="3"/>
  <c r="K71" i="3"/>
  <c r="J71" i="3"/>
  <c r="I71" i="3"/>
  <c r="H71" i="3"/>
  <c r="A71" i="3"/>
  <c r="L70" i="3"/>
  <c r="K70" i="3"/>
  <c r="J70" i="3"/>
  <c r="I70" i="3"/>
  <c r="H70" i="3"/>
  <c r="A70" i="3"/>
  <c r="L69" i="3"/>
  <c r="K69" i="3"/>
  <c r="J69" i="3"/>
  <c r="I69" i="3"/>
  <c r="H69" i="3"/>
  <c r="A69" i="3"/>
  <c r="K68" i="3"/>
  <c r="L68" i="3" s="1"/>
  <c r="J68" i="3"/>
  <c r="I68" i="3"/>
  <c r="H68" i="3"/>
  <c r="A68" i="3"/>
  <c r="L67" i="3"/>
  <c r="K67" i="3"/>
  <c r="J67" i="3"/>
  <c r="I67" i="3"/>
  <c r="H67" i="3"/>
  <c r="A67" i="3"/>
  <c r="L66" i="3"/>
  <c r="K66" i="3"/>
  <c r="J66" i="3"/>
  <c r="I66" i="3"/>
  <c r="H66" i="3"/>
  <c r="A66" i="3"/>
  <c r="L65" i="3"/>
  <c r="K65" i="3"/>
  <c r="J65" i="3"/>
  <c r="I65" i="3"/>
  <c r="H65" i="3"/>
  <c r="A65" i="3"/>
  <c r="K64" i="3"/>
  <c r="L64" i="3" s="1"/>
  <c r="J64" i="3"/>
  <c r="I64" i="3"/>
  <c r="H64" i="3"/>
  <c r="A64" i="3"/>
  <c r="L63" i="3"/>
  <c r="K63" i="3"/>
  <c r="J63" i="3"/>
  <c r="I63" i="3"/>
  <c r="H63" i="3"/>
  <c r="A63" i="3"/>
  <c r="L62" i="3"/>
  <c r="K62" i="3"/>
  <c r="J62" i="3"/>
  <c r="I62" i="3"/>
  <c r="H62" i="3"/>
  <c r="A62" i="3"/>
  <c r="L61" i="3"/>
  <c r="K61" i="3"/>
  <c r="J61" i="3"/>
  <c r="I61" i="3"/>
  <c r="H61" i="3"/>
  <c r="A61" i="3"/>
  <c r="K60" i="3"/>
  <c r="L60" i="3" s="1"/>
  <c r="J60" i="3"/>
  <c r="I60" i="3"/>
  <c r="H60" i="3"/>
  <c r="A60" i="3"/>
  <c r="L59" i="3"/>
  <c r="K59" i="3"/>
  <c r="J59" i="3"/>
  <c r="I59" i="3"/>
  <c r="H59" i="3"/>
  <c r="A59" i="3"/>
  <c r="L58" i="3"/>
  <c r="K58" i="3"/>
  <c r="J58" i="3"/>
  <c r="I58" i="3"/>
  <c r="H58" i="3"/>
  <c r="A58" i="3"/>
  <c r="L57" i="3"/>
  <c r="K57" i="3"/>
  <c r="J57" i="3"/>
  <c r="I57" i="3"/>
  <c r="H57" i="3"/>
  <c r="A57" i="3"/>
  <c r="K56" i="3"/>
  <c r="L56" i="3" s="1"/>
  <c r="J56" i="3"/>
  <c r="I56" i="3"/>
  <c r="H56" i="3"/>
  <c r="A56" i="3"/>
  <c r="L55" i="3"/>
  <c r="K55" i="3"/>
  <c r="J55" i="3"/>
  <c r="I55" i="3"/>
  <c r="H55" i="3"/>
  <c r="A55" i="3"/>
  <c r="L54" i="3"/>
  <c r="K54" i="3"/>
  <c r="J54" i="3"/>
  <c r="I54" i="3"/>
  <c r="H54" i="3"/>
  <c r="A54" i="3"/>
  <c r="L53" i="3"/>
  <c r="K53" i="3"/>
  <c r="J53" i="3"/>
  <c r="I53" i="3"/>
  <c r="H53" i="3"/>
  <c r="A53" i="3"/>
  <c r="K52" i="3"/>
  <c r="L52" i="3" s="1"/>
  <c r="J52" i="3"/>
  <c r="I52" i="3"/>
  <c r="H52" i="3"/>
  <c r="A52" i="3"/>
  <c r="L51" i="3"/>
  <c r="K51" i="3"/>
  <c r="J51" i="3"/>
  <c r="I51" i="3"/>
  <c r="H51" i="3"/>
  <c r="A51" i="3"/>
  <c r="L50" i="3"/>
  <c r="K50" i="3"/>
  <c r="J50" i="3"/>
  <c r="I50" i="3"/>
  <c r="H50" i="3"/>
  <c r="A50" i="3"/>
  <c r="L49" i="3"/>
  <c r="K49" i="3"/>
  <c r="J49" i="3"/>
  <c r="I49" i="3"/>
  <c r="H49" i="3"/>
  <c r="A49" i="3"/>
  <c r="K48" i="3"/>
  <c r="L48" i="3" s="1"/>
  <c r="J48" i="3"/>
  <c r="I48" i="3"/>
  <c r="H48" i="3"/>
  <c r="A48" i="3"/>
  <c r="L47" i="3"/>
  <c r="K47" i="3"/>
  <c r="J47" i="3"/>
  <c r="I47" i="3"/>
  <c r="H47" i="3"/>
  <c r="A47" i="3"/>
  <c r="L46" i="3"/>
  <c r="K46" i="3"/>
  <c r="J46" i="3"/>
  <c r="I46" i="3"/>
  <c r="H46" i="3"/>
  <c r="A46" i="3"/>
  <c r="L45" i="3"/>
  <c r="K45" i="3"/>
  <c r="J45" i="3"/>
  <c r="I45" i="3"/>
  <c r="H45" i="3"/>
  <c r="A45" i="3"/>
  <c r="K44" i="3"/>
  <c r="L44" i="3" s="1"/>
  <c r="J44" i="3"/>
  <c r="I44" i="3"/>
  <c r="H44" i="3"/>
  <c r="A44" i="3"/>
  <c r="L43" i="3"/>
  <c r="K43" i="3"/>
  <c r="J43" i="3"/>
  <c r="I43" i="3"/>
  <c r="H43" i="3"/>
  <c r="A43" i="3"/>
  <c r="L42" i="3"/>
  <c r="K42" i="3"/>
  <c r="J42" i="3"/>
  <c r="I42" i="3"/>
  <c r="H42" i="3"/>
  <c r="A42" i="3"/>
  <c r="L41" i="3"/>
  <c r="K41" i="3"/>
  <c r="J41" i="3"/>
  <c r="I41" i="3"/>
  <c r="H41" i="3"/>
  <c r="A41" i="3"/>
  <c r="K40" i="3"/>
  <c r="L40" i="3" s="1"/>
  <c r="J40" i="3"/>
  <c r="I40" i="3"/>
  <c r="H40" i="3"/>
  <c r="A40" i="3"/>
  <c r="L39" i="3"/>
  <c r="K39" i="3"/>
  <c r="J39" i="3"/>
  <c r="I39" i="3"/>
  <c r="H39" i="3"/>
  <c r="A39" i="3"/>
  <c r="L38" i="3"/>
  <c r="K38" i="3"/>
  <c r="J38" i="3"/>
  <c r="I38" i="3"/>
  <c r="H38" i="3"/>
  <c r="A38" i="3"/>
  <c r="L37" i="3"/>
  <c r="K37" i="3"/>
  <c r="J37" i="3"/>
  <c r="I37" i="3"/>
  <c r="H37" i="3"/>
  <c r="A37" i="3"/>
  <c r="K36" i="3"/>
  <c r="L36" i="3" s="1"/>
  <c r="J36" i="3"/>
  <c r="I36" i="3"/>
  <c r="H36" i="3"/>
  <c r="A36" i="3"/>
  <c r="L35" i="3"/>
  <c r="K35" i="3"/>
  <c r="J35" i="3"/>
  <c r="I35" i="3"/>
  <c r="H35" i="3"/>
  <c r="A35" i="3"/>
  <c r="L34" i="3"/>
  <c r="K34" i="3"/>
  <c r="J34" i="3"/>
  <c r="I34" i="3"/>
  <c r="H34" i="3"/>
  <c r="A34" i="3"/>
  <c r="L33" i="3"/>
  <c r="K33" i="3"/>
  <c r="J33" i="3"/>
  <c r="I33" i="3"/>
  <c r="H33" i="3"/>
  <c r="A33" i="3"/>
  <c r="K32" i="3"/>
  <c r="L32" i="3" s="1"/>
  <c r="J32" i="3"/>
  <c r="I32" i="3"/>
  <c r="H32" i="3"/>
  <c r="A32" i="3"/>
  <c r="L31" i="3"/>
  <c r="K31" i="3"/>
  <c r="J31" i="3"/>
  <c r="I31" i="3"/>
  <c r="H31" i="3"/>
  <c r="A31" i="3"/>
  <c r="L30" i="3"/>
  <c r="K30" i="3"/>
  <c r="J30" i="3"/>
  <c r="I30" i="3"/>
  <c r="H30" i="3"/>
  <c r="A30" i="3"/>
  <c r="L29" i="3"/>
  <c r="K29" i="3"/>
  <c r="J29" i="3"/>
  <c r="I29" i="3"/>
  <c r="H29" i="3"/>
  <c r="A29" i="3"/>
  <c r="K28" i="3"/>
  <c r="L28" i="3" s="1"/>
  <c r="J28" i="3"/>
  <c r="I28" i="3"/>
  <c r="H28" i="3"/>
  <c r="A28" i="3"/>
  <c r="L27" i="3"/>
  <c r="K27" i="3"/>
  <c r="J27" i="3"/>
  <c r="I27" i="3"/>
  <c r="H27" i="3"/>
  <c r="A27" i="3"/>
  <c r="L26" i="3"/>
  <c r="K26" i="3"/>
  <c r="J26" i="3"/>
  <c r="I26" i="3"/>
  <c r="H26" i="3"/>
  <c r="A26" i="3"/>
  <c r="L25" i="3"/>
  <c r="K25" i="3"/>
  <c r="J25" i="3"/>
  <c r="I25" i="3"/>
  <c r="H25" i="3"/>
  <c r="A25" i="3"/>
  <c r="K24" i="3"/>
  <c r="L24" i="3" s="1"/>
  <c r="J24" i="3"/>
  <c r="I24" i="3"/>
  <c r="H24" i="3"/>
  <c r="A24" i="3"/>
  <c r="L23" i="3"/>
  <c r="K23" i="3"/>
  <c r="J23" i="3"/>
  <c r="I23" i="3"/>
  <c r="H23" i="3"/>
  <c r="A23" i="3"/>
  <c r="L22" i="3"/>
  <c r="K22" i="3"/>
  <c r="J22" i="3"/>
  <c r="I22" i="3"/>
  <c r="H22" i="3"/>
  <c r="A22" i="3"/>
  <c r="L21" i="3"/>
  <c r="K21" i="3"/>
  <c r="J21" i="3"/>
  <c r="I21" i="3"/>
  <c r="H21" i="3"/>
  <c r="A21" i="3"/>
  <c r="K20" i="3"/>
  <c r="L20" i="3" s="1"/>
  <c r="J20" i="3"/>
  <c r="I20" i="3"/>
  <c r="H20" i="3"/>
  <c r="A20" i="3"/>
  <c r="L19" i="3"/>
  <c r="K19" i="3"/>
  <c r="J19" i="3"/>
  <c r="I19" i="3"/>
  <c r="H19" i="3"/>
  <c r="A19" i="3"/>
  <c r="L18" i="3"/>
  <c r="K18" i="3"/>
  <c r="J18" i="3"/>
  <c r="I18" i="3"/>
  <c r="H18" i="3"/>
  <c r="A18" i="3"/>
  <c r="L17" i="3"/>
  <c r="K17" i="3"/>
  <c r="J17" i="3"/>
  <c r="I17" i="3"/>
  <c r="H17" i="3"/>
  <c r="A17" i="3"/>
  <c r="K16" i="3"/>
  <c r="L16" i="3" s="1"/>
  <c r="J16" i="3"/>
  <c r="I16" i="3"/>
  <c r="H16" i="3"/>
  <c r="A16" i="3"/>
  <c r="L15" i="3"/>
  <c r="K15" i="3"/>
  <c r="J15" i="3"/>
  <c r="I15" i="3"/>
  <c r="H15" i="3"/>
  <c r="A15" i="3"/>
  <c r="L14" i="3"/>
  <c r="K14" i="3"/>
  <c r="J14" i="3"/>
  <c r="I14" i="3"/>
  <c r="H14" i="3"/>
  <c r="A14" i="3"/>
  <c r="L13" i="3"/>
  <c r="K13" i="3"/>
  <c r="J13" i="3"/>
  <c r="I13" i="3"/>
  <c r="H13" i="3"/>
  <c r="A13" i="3"/>
  <c r="K12" i="3"/>
  <c r="L12" i="3" s="1"/>
  <c r="J12" i="3"/>
  <c r="I12" i="3"/>
  <c r="H12" i="3"/>
  <c r="A12" i="3"/>
  <c r="L11" i="3"/>
  <c r="K11" i="3"/>
  <c r="J11" i="3"/>
  <c r="I11" i="3"/>
  <c r="H11" i="3"/>
  <c r="A11" i="3"/>
  <c r="L10" i="3"/>
  <c r="K10" i="3"/>
  <c r="J10" i="3"/>
  <c r="I10" i="3"/>
  <c r="H10" i="3"/>
  <c r="A10" i="3"/>
  <c r="L9" i="3"/>
  <c r="K9" i="3"/>
  <c r="J9" i="3"/>
  <c r="I9" i="3"/>
  <c r="H9" i="3"/>
  <c r="A9" i="3"/>
  <c r="K8" i="3"/>
  <c r="L8" i="3" s="1"/>
  <c r="J8" i="3"/>
  <c r="I8" i="3"/>
  <c r="H8" i="3"/>
  <c r="A8" i="3"/>
  <c r="L7" i="3"/>
  <c r="K7" i="3"/>
  <c r="J7" i="3"/>
  <c r="I7" i="3"/>
  <c r="H7" i="3"/>
  <c r="A7" i="3"/>
  <c r="L6" i="3"/>
  <c r="K6" i="3"/>
  <c r="J6" i="3"/>
  <c r="I6" i="3"/>
  <c r="H6" i="3"/>
  <c r="A6" i="3"/>
  <c r="L5" i="3"/>
  <c r="K5" i="3"/>
  <c r="J5" i="3"/>
  <c r="I5" i="3"/>
  <c r="H5" i="3"/>
  <c r="A5" i="3"/>
</calcChain>
</file>

<file path=xl/sharedStrings.xml><?xml version="1.0" encoding="utf-8"?>
<sst xmlns="http://schemas.openxmlformats.org/spreadsheetml/2006/main" count="421" uniqueCount="203">
  <si>
    <t>No</t>
  </si>
  <si>
    <t>Kode Pasal</t>
  </si>
  <si>
    <t>Kategori</t>
  </si>
  <si>
    <t>Uraian Pelanggaran</t>
  </si>
  <si>
    <t>Poin Maks.</t>
  </si>
  <si>
    <t>Jenis</t>
  </si>
  <si>
    <t>Status Aktif</t>
  </si>
  <si>
    <t>Pasal 10 ayat 1</t>
  </si>
  <si>
    <t>Berat</t>
  </si>
  <si>
    <t>Mengkonsumsi dan/atau mengedarkan minuman keras, narkoba, atau sejenisnya</t>
  </si>
  <si>
    <t>Pelanggaran</t>
  </si>
  <si>
    <t>Aktif</t>
  </si>
  <si>
    <t>Pasal 10 ayat 2</t>
  </si>
  <si>
    <t>Melakukan pergaulan bebas dengan sejenis maupun lawan jenis yang tidak sesuai syari'at Agama</t>
  </si>
  <si>
    <t>Pasal 10 ayat 3</t>
  </si>
  <si>
    <t>Menghina/melawan terhadap pengasuh, dzuriyyah, guru, pengurus, dan karyawan Pesantren Tebuireng</t>
  </si>
  <si>
    <t>Pasal 10 ayat 4</t>
  </si>
  <si>
    <t>Melakukan pencurian dan/atau pemalakan baik uang maupun barang</t>
  </si>
  <si>
    <t>Pasal 10 ayat 5</t>
  </si>
  <si>
    <t>Berkelahi dan melakukan penganiayaan</t>
  </si>
  <si>
    <t>Pasal 10 ayat 6</t>
  </si>
  <si>
    <t>Memalsukan tanda tangan orang tua/Pengasuh/pengurus pondok, atau menggunakan stempel/surat resmi Pondok dan sekolah/madrasah</t>
  </si>
  <si>
    <t>Pasal 10 ayat 7</t>
  </si>
  <si>
    <t>Mendatangi tempat maksiat (pelacuran, diskotek, perjudian, dan sejenisnya)</t>
  </si>
  <si>
    <t>Pasal 10 ayat 8</t>
  </si>
  <si>
    <t>Mengikuti kegiatan bela diri selain yang diizinkan oleh pesantren</t>
  </si>
  <si>
    <t>Pasal 10 ayat 9</t>
  </si>
  <si>
    <t>Menonton, menyimpan, dan/atau mengedarkan file video dan/atau gambar porno</t>
  </si>
  <si>
    <t>Pasal 10 ayat 10</t>
  </si>
  <si>
    <t>Menggalang atau mengerahkan massa untuk unjuk rasa</t>
  </si>
  <si>
    <t>Pasal 10 ayat 11</t>
  </si>
  <si>
    <t>Menikah selama masa pendidikan di pondok maupun di sekolah/madrasah</t>
  </si>
  <si>
    <t>Pasal 10 ayat 12</t>
  </si>
  <si>
    <t>Memiliki rumah kos dan/atau bertempat tinggal di luar pondok</t>
  </si>
  <si>
    <t>Pasal 10 ayat 13</t>
  </si>
  <si>
    <t>Bertato</t>
  </si>
  <si>
    <t>Pasal 10 ayat 14</t>
  </si>
  <si>
    <t>Santri putra bertindik</t>
  </si>
  <si>
    <t>Pasal 10 ayat 15</t>
  </si>
  <si>
    <t>Menjual dan/atau mengedarkan rokok</t>
  </si>
  <si>
    <t>Pasal 11 ayat 1</t>
  </si>
  <si>
    <t>Sedang</t>
  </si>
  <si>
    <t>Membawa dan/atau menitipkan HP atau alat komunikasi sejenisnya</t>
  </si>
  <si>
    <t>Pasal 11 ayat 2</t>
  </si>
  <si>
    <t>Membawa laptop ke pondok</t>
  </si>
  <si>
    <t>Pasal 11 ayat 3</t>
  </si>
  <si>
    <t>Merokok dan/atau membawa rokok</t>
  </si>
  <si>
    <t>Pasal 11 ayat 4</t>
  </si>
  <si>
    <t>Memanjat pagar pembatas pondok atau sekolah/madrasah</t>
  </si>
  <si>
    <t>Pasal 11 ayat 5</t>
  </si>
  <si>
    <t>Mengintimidasi, menghina, dan mengolok-olok teman pondok/sekolah maupun warga sekitar (bullying)</t>
  </si>
  <si>
    <t>Pasal 11 ayat 6</t>
  </si>
  <si>
    <t>Membawa dan/atau menyewa kendaraan bermotor/sepeda angin</t>
  </si>
  <si>
    <t>Pasal 11 ayat 7</t>
  </si>
  <si>
    <t>Membentuk atau mengikuti perkumpulan/organisasi yang tidak diizinkan Kepala Pondok/Kepala Sekolah/Madrasah</t>
  </si>
  <si>
    <t>Pasal 11 ayat 8</t>
  </si>
  <si>
    <t>Menyalahgunakan alat komunikasi</t>
  </si>
  <si>
    <t>Pasal 11 ayat 9</t>
  </si>
  <si>
    <t>Berjualan</t>
  </si>
  <si>
    <t>Pasal 11 ayat 10</t>
  </si>
  <si>
    <t>Merusak sarana prasarana pondok dan sekolah/madrasah</t>
  </si>
  <si>
    <t>Pasal 11 ayat 11</t>
  </si>
  <si>
    <t>Pulang atau keluar pondok tanpa seijin pengurus</t>
  </si>
  <si>
    <t>Pasal 11 ayat 12</t>
  </si>
  <si>
    <t>Melakukan kecurangan dalam pelaksanaan evaluasi pembelajaran di sekolah atau di pondok</t>
  </si>
  <si>
    <t>Pasal 11 ayat 13</t>
  </si>
  <si>
    <t>Menyalahgunakan aliran listrik</t>
  </si>
  <si>
    <t>Pasal 11 ayat 14</t>
  </si>
  <si>
    <t>Berbuat sesuatu yang membahayakan/merugikan diri sendiri, orang lain, maupun lingkungan sekitar</t>
  </si>
  <si>
    <t>Pasal 11 ayat 15</t>
  </si>
  <si>
    <t>Membawa dan menyalakan petasan/bahan peledak sejenisnya</t>
  </si>
  <si>
    <t>Pasal 11 ayat 16</t>
  </si>
  <si>
    <t>Membunyikan radio, tape recorder, MP3 dan sejenisnya pada waktu shalat jama'ah, jam belajar, dan jam istirahat malam</t>
  </si>
  <si>
    <t>Pasal 11 ayat 17</t>
  </si>
  <si>
    <t>Meng-ghoshob</t>
  </si>
  <si>
    <t>Pasal 11 ayat 18</t>
  </si>
  <si>
    <t>Mendatangi tempat hiburan seperti Play Station, warnet, dan hiburan sejenisnya</t>
  </si>
  <si>
    <t>Pasal 11 ayat 19</t>
  </si>
  <si>
    <t>Meninggalkan kewajiban ibadah yang bersifat syari'at</t>
  </si>
  <si>
    <t>Pasal 11 ayat 20</t>
  </si>
  <si>
    <t>Berambut gondrong, mohak, semir, dll.</t>
  </si>
  <si>
    <t>Pasal 12 ayat 1</t>
  </si>
  <si>
    <t>Ringan</t>
  </si>
  <si>
    <t>Menyalahgunakan uang pembayaran</t>
  </si>
  <si>
    <t>Pasal 12 ayat 2</t>
  </si>
  <si>
    <t>Pulang lebih awal atau datang terlambat saat liburan tanpa ijin</t>
  </si>
  <si>
    <t>Pasal 12 ayat 3</t>
  </si>
  <si>
    <t>Menyimpan uang organisasi</t>
  </si>
  <si>
    <t>Pasal 12 ayat 4</t>
  </si>
  <si>
    <t>Tidur saat proses pembelajaran sedang berlangsung</t>
  </si>
  <si>
    <t>Pasal 12 ayat 5</t>
  </si>
  <si>
    <t>Merias wajah secara berlebihan</t>
  </si>
  <si>
    <t>Pasal 12 ayat 6</t>
  </si>
  <si>
    <t>Berpenampilan yang tidak sopan baik secara syara' maupun 'adat</t>
  </si>
  <si>
    <t>Pasal 12 ayat 7</t>
  </si>
  <si>
    <t>Mengenakan perhiasan yang berlebihan</t>
  </si>
  <si>
    <t>Pasal 12 ayat 8</t>
  </si>
  <si>
    <t>Menggunakan fasilitas pengurus, guru, dan tamu</t>
  </si>
  <si>
    <t>Pasal 12 ayat 9</t>
  </si>
  <si>
    <t>Menerima tamu baik di wisma maupun di kamar</t>
  </si>
  <si>
    <t>Pasal 12 ayat 10</t>
  </si>
  <si>
    <t>Membawa alat masak ke pondok</t>
  </si>
  <si>
    <t>Pasal 12 ayat 11</t>
  </si>
  <si>
    <t>Berbicara, menulis, dan menggambar yang tidak sopan</t>
  </si>
  <si>
    <t>Pasal 12 ayat 12</t>
  </si>
  <si>
    <t>Bolos sekolah atau KBM di pondok</t>
  </si>
  <si>
    <t>Pasal 12 ayat 13</t>
  </si>
  <si>
    <t>Tidur setelah waktu subuh dan setelah waktu maghrib</t>
  </si>
  <si>
    <t>Pasal 12 ayat 14</t>
  </si>
  <si>
    <t>Bermain sepakbola di dalam wisma/kamar</t>
  </si>
  <si>
    <t>Pasal 12 ayat 15</t>
  </si>
  <si>
    <t>Santri putra memakai kalung, gelang, dan binggel</t>
  </si>
  <si>
    <t>Pasal 12 ayat 16</t>
  </si>
  <si>
    <t>Mengganggu ketenangan orang lain, baik di dalam maupun di luar kamar</t>
  </si>
  <si>
    <t>Pasal 12 ayat 17</t>
  </si>
  <si>
    <t>Tidur di luar kamar (masjid, maqbaroh, kamar santri lain)</t>
  </si>
  <si>
    <t>Pasal 12 ayat 18</t>
  </si>
  <si>
    <t>Merayakan ulang tahun yang tidak islami</t>
  </si>
  <si>
    <t>Pasal 12 ayat 19</t>
  </si>
  <si>
    <t>Menyimpan uang saku lebih dari Rp100.000</t>
  </si>
  <si>
    <t>Pasal 12 ayat 20</t>
  </si>
  <si>
    <t>Terlambat masuk kegiatan sekolah dan kegiatan wajib pondok</t>
  </si>
  <si>
    <t>Pasal 12 ayat 21</t>
  </si>
  <si>
    <t>Keluar-masuk kelas tanpa seijin guru</t>
  </si>
  <si>
    <t>Pasal 12 ayat 22</t>
  </si>
  <si>
    <t>Membuang sampah tidak pada tempatnya</t>
  </si>
  <si>
    <t>Pasal 5 ayat 6</t>
  </si>
  <si>
    <t>Kewajiban</t>
  </si>
  <si>
    <t>Wajib membayar infaq/SPP bulanan</t>
  </si>
  <si>
    <t>Meninggalkan Kewajiban</t>
  </si>
  <si>
    <t>Pasal 8 ayat 1</t>
  </si>
  <si>
    <t>Wajib mengikuti pengajian Al-Qur'an, Takhassus, dan diniyyah sesuai jadwal</t>
  </si>
  <si>
    <t>Pasal 8 ayat 2</t>
  </si>
  <si>
    <t>Wajib mengikuti shalat berjamaah maghrib, isya, dan subuh di masjid</t>
  </si>
  <si>
    <t>Pasal 8 ayat 3</t>
  </si>
  <si>
    <t>Santri putra wajib memakai seragam pondok/baju putih ketika jamaah maghrib, isya, dan subuh</t>
  </si>
  <si>
    <t>Pasal 8 ayat 4</t>
  </si>
  <si>
    <t>Wajib mengikuti jam belajar ba'da isya</t>
  </si>
  <si>
    <t>Pasal 8 ayat 5</t>
  </si>
  <si>
    <t>Wajib tidur pada jam yang telah ditentukan</t>
  </si>
  <si>
    <t>Pasal 8 ayat 6</t>
  </si>
  <si>
    <t>Wajib menjalankan piket kebersihan kamar dan asrama/wisma</t>
  </si>
  <si>
    <t>Pasal 8 ayat 7</t>
  </si>
  <si>
    <t>Wajib merapikan tempat tidur sendiri sebelum berangkat ke sekolah</t>
  </si>
  <si>
    <t>Pasal 8 ayat 8</t>
  </si>
  <si>
    <t>Wajib mengikuti ro'an (kerja bakti) lingkungan setiap Jum'at pagi</t>
  </si>
  <si>
    <t>Pasal 9 ayat 2</t>
  </si>
  <si>
    <t>Siswa wajib datang ke sekolah/madrasah paling lambat pukul 06:55 WIB</t>
  </si>
  <si>
    <t>Pasal 9 ayat 3</t>
  </si>
  <si>
    <t>Siswa wajib memakai seragam lengkap dan rapi</t>
  </si>
  <si>
    <t>Pasal 9 ayat 4</t>
  </si>
  <si>
    <t>Siswa wajib mengikuti shalat berjamaah dzuhur dan ashar saat di sekolah/madrasah (dianjurkan memakai sarung)</t>
  </si>
  <si>
    <t>Pasal 9 ayat 5</t>
  </si>
  <si>
    <t>Siswa wajib melaksanakan Program 7K (Keimanan, Keamanan, Ketertiban, Kebersihan, Keindahan, Kerindangan, Kekeluargaan)</t>
  </si>
  <si>
    <t>Pasal 9 ayat 6</t>
  </si>
  <si>
    <t>Siswa wajib menjalankan piket kebersihan kelas</t>
  </si>
  <si>
    <t>Pasal 9 ayat 7</t>
  </si>
  <si>
    <t>Siswa wajib mengikuti kegiatan organisasi siswa</t>
  </si>
  <si>
    <t>TABEL SANKSI BERDASARKAN AKUMULASI POIN</t>
  </si>
  <si>
    <t>Akumulasi poin dihitung per jenjang pendidikan, maksimal 100 poin (Pasal 13-14)</t>
  </si>
  <si>
    <t>Kategori Pelanggaran</t>
  </si>
  <si>
    <t>Rentang Poin</t>
  </si>
  <si>
    <t>Poin Min</t>
  </si>
  <si>
    <t>Poin Maks</t>
  </si>
  <si>
    <t>Tindakan Sanksi</t>
  </si>
  <si>
    <t>1-20</t>
  </si>
  <si>
    <t>Pembinaan; Roan</t>
  </si>
  <si>
    <t>21-34</t>
  </si>
  <si>
    <t>Pembinaan; Pemberitahuan orang tua; Roan</t>
  </si>
  <si>
    <t>35-50</t>
  </si>
  <si>
    <t>Pembinaan; Pemanggilan orang tua (peringatan); Digundul (putra) / jilbab pembinaan (putri); Menghafal Juz 30 atau surat pilihan; Menulis surat pilihan; Mengganti rugi sarana prasarana yang dirusak (Pasal 11 ayat 10)</t>
  </si>
  <si>
    <t>51-74</t>
  </si>
  <si>
    <t>Pembinaan; Pemanggilan orang tua (pernyataan); Digundul, wajib lapor shalat 5 waktu 30 hari tanpa putus; Menulis surat pilihan atau menghafal surat tertentu (Yasin, Waqi'ah, Ar-Rahman) dan Istighosah serta do'a</t>
  </si>
  <si>
    <t>75</t>
  </si>
  <si>
    <t>Pembinaan; Pemanggilan orang tua (perjanjian); Pendampingan tenaga ahli; Wajib lapor shalat jama'ah; Tidak boleh izin keluar pondok selama 3 bulan</t>
  </si>
  <si>
    <t>100</t>
  </si>
  <si>
    <t>Santri/siswa dikembalikan ke orang tua</t>
  </si>
  <si>
    <t>FORM INPUT PELANGGARAN SANTRI (Data Entry)</t>
  </si>
  <si>
    <t>Pilih Kode Pasal pada kolom G, kolom H-J akan terisi otomatis dari sheet Master Pelanggaran</t>
  </si>
  <si>
    <t>Tanggal</t>
  </si>
  <si>
    <t>Nama Santri</t>
  </si>
  <si>
    <t>NIS/NISN</t>
  </si>
  <si>
    <t>Kamar/Wisma</t>
  </si>
  <si>
    <t>Kelas</t>
  </si>
  <si>
    <t>Uraian Pelanggaran (auto)</t>
  </si>
  <si>
    <t>Kategori (auto)</t>
  </si>
  <si>
    <t>Poin (auto)</t>
  </si>
  <si>
    <t>Akumulasi Poin</t>
  </si>
  <si>
    <t>Sanksi (lihat Tabel Sanksi)</t>
  </si>
  <si>
    <t>Petugas Pencatat</t>
  </si>
  <si>
    <t>Keterangan</t>
  </si>
  <si>
    <t>PANDUAN PENGGUNAAN FILE</t>
  </si>
  <si>
    <t>Sheet 'Master Pelanggaran'</t>
  </si>
  <si>
    <t>Berisi seluruh pasal, kategori, uraian, dan poin maksimal sesuai Buku Panduan Santri Tebuireng 2025 (Pasal 5, 8, 9, 10, 11, 12). Ini adalah sumber data utama (database) yang dipakai sheet lain. Kolom 'Status Aktif' bisa diubah ke 'Tidak Aktif' jika suatu pasal direvisi tanpa perlu menghapus baris.</t>
  </si>
  <si>
    <t>Sheet 'Tabel Sanksi'</t>
  </si>
  <si>
    <t>Berisi rentang akumulasi poin dan sanksi yang berlaku sesuai Pasal 14. Digunakan sebagai referensi otomatis pada Sheet 'Input Pelanggaran Santri'.</t>
  </si>
  <si>
    <t>Sheet 'Input Pelanggaran Santri'</t>
  </si>
  <si>
    <t>Form entry harian. Isi kolom Tanggal, Nama Santri, NIS/NISN, Kamar/Wisma, Kelas, lalu pilih 'Kode Pasal' dari dropdown (kolom G). Kolom Uraian, Kategori, Poin, Akumulasi Poin, dan Sanksi akan terisi otomatis melalui formula.</t>
  </si>
  <si>
    <t>Integrasi ke Website</t>
  </si>
  <si>
    <t>Setiap sheet dapat diekspor sebagai tabel terpisah (CSV) untuk diimpor ke database sistem absensi digital: 'Master Pelanggaran' -&gt; tabel referensi 'master_pelanggaran'; 'Tabel Sanksi' -&gt; tabel referensi 'master_sanksi'; 'Input Pelanggaran Santri' -&gt; tabel transaksi 'log_pelanggaran_santri'.</t>
  </si>
  <si>
    <t>Digunakan sebagai kunci (key) unik untuk menghubungkan data pelanggaran dengan uraian dan poin di database. Disarankan menambahkan kolom ID numerik/UUID pada sistem backend saat migrasi.</t>
  </si>
  <si>
    <t>Catatan</t>
  </si>
  <si>
    <t>Nilai poin dan sanksi sesuai dokumen sumber per 2025. Prestasi siswa dapat menjadi pertimbangan peringanan hukuman (Pasal 15 ayat 7) namun bersifat kebijakan khusus tidak tertulis, sehingga tidak dimasukkan sebagai formula otomatis.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</si>
</sst>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4"/>
      <color rgb="FF1F4E78"/>
      <name val="Arial"/>
      <charset val="1"/>
    </font>
    <font>
      <i/>
      <sz val="10"/>
      <color rgb="FF666666"/>
      <name val="Arial"/>
      <charset val="1"/>
    </font>
    <font>
      <b/>
      <sz val="11"/>
      <color rgb="FFFFFFFF"/>
      <name val="Arial"/>
      <charset val="1"/>
    </font>
    <font>
      <sz val="10"/>
      <name val="Arial"/>
      <charset val="1"/>
    </font>
    <font>
      <b/>
      <sz val="10"/>
      <name val="Arial"/>
      <charset val="1"/>
    </font>
  </fonts>
  <fills count="7">
    <fill>
      <patternFill patternType="none"/>
    </fill>
    <fill>
      <patternFill patternType="gray125"/>
    </fill>
    <fill>
      <patternFill patternType="solid">
        <fgColor rgb="FF1F4E78"/>
        <bgColor rgb="FF003366"/>
      </patternFill>
    </fill>
    <fill>
      <patternFill patternType="solid">
        <fgColor rgb="FFF8CBAD"/>
        <bgColor rgb="FFFFE699"/>
      </patternFill>
    </fill>
    <fill>
      <patternFill patternType="solid">
        <fgColor rgb="FFFFE699"/>
        <bgColor rgb="FFF8CBAD"/>
      </patternFill>
    </fill>
    <fill>
      <patternFill patternType="solid">
        <fgColor rgb="FFC6E0B4"/>
        <bgColor rgb="FFBDD7EE"/>
      </patternFill>
    </fill>
    <fill>
      <patternFill patternType="solid">
        <fgColor rgb="FFBDD7EE"/>
        <bgColor rgb="FFC6E0B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5">
    <xf numFmtId="0" fontId="0" fillId="0" borderId="0" xfId="0"/>
    <xf numFmtId="0" fontId="2" fillId="0" borderId="0" xfId="0" applyFont="1" applyBorder="1"/>
    <xf numFmtId="0" fontId="1" fillId="0" borderId="0" xfId="0" applyFont="1" applyBorder="1" applyAlignment="1">
      <alignment horizontal="left" vertical="center"/>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top"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top"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top" wrapText="1"/>
    </xf>
    <xf numFmtId="0" fontId="4" fillId="0" borderId="1" xfId="0" applyFont="1" applyBorder="1" applyAlignment="1">
      <alignment horizontal="center" vertical="center" wrapText="1"/>
    </xf>
    <xf numFmtId="0" fontId="4" fillId="0" borderId="1" xfId="0" applyFont="1" applyBorder="1" applyAlignment="1">
      <alignment horizontal="left" vertical="top" wrapText="1"/>
    </xf>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3"/>
  <sheetViews>
    <sheetView tabSelected="1" zoomScaleNormal="100" workbookViewId="0">
      <pane ySplit="1" topLeftCell="A41" activePane="bottomLeft" state="frozen"/>
      <selection pane="bottomLeft" activeCell="D69" sqref="D69"/>
    </sheetView>
  </sheetViews>
  <sheetFormatPr defaultColWidth="8.7109375" defaultRowHeight="15" x14ac:dyDescent="0.25"/>
  <cols>
    <col min="1" max="1" width="6" customWidth="1"/>
    <col min="2" max="2" width="16" customWidth="1"/>
    <col min="3" max="3" width="12" customWidth="1"/>
    <col min="4" max="4" width="70" customWidth="1"/>
    <col min="5" max="5" width="11" customWidth="1"/>
    <col min="6" max="6" width="20" customWidth="1"/>
    <col min="7" max="7" width="12" customWidth="1"/>
  </cols>
  <sheetData>
    <row r="1" spans="1:7" ht="24" customHeight="1" x14ac:dyDescent="0.25">
      <c r="A1" s="3" t="s">
        <v>0</v>
      </c>
      <c r="B1" s="3" t="s">
        <v>1</v>
      </c>
      <c r="C1" s="3" t="s">
        <v>2</v>
      </c>
      <c r="D1" s="3" t="s">
        <v>3</v>
      </c>
      <c r="E1" s="3" t="s">
        <v>4</v>
      </c>
      <c r="F1" s="3" t="s">
        <v>5</v>
      </c>
      <c r="G1" s="3" t="s">
        <v>6</v>
      </c>
    </row>
    <row r="2" spans="1:7" ht="25.5" x14ac:dyDescent="0.25">
      <c r="A2" s="4">
        <v>1</v>
      </c>
      <c r="B2" s="4" t="s">
        <v>7</v>
      </c>
      <c r="C2" s="4" t="s">
        <v>8</v>
      </c>
      <c r="D2" s="5" t="s">
        <v>9</v>
      </c>
      <c r="E2" s="4">
        <v>100</v>
      </c>
      <c r="F2" s="4" t="s">
        <v>10</v>
      </c>
      <c r="G2" s="4" t="s">
        <v>11</v>
      </c>
    </row>
    <row r="3" spans="1:7" x14ac:dyDescent="0.25">
      <c r="A3" s="4">
        <v>2</v>
      </c>
      <c r="B3" s="4" t="s">
        <v>12</v>
      </c>
      <c r="C3" s="4" t="s">
        <v>8</v>
      </c>
      <c r="D3" s="5" t="s">
        <v>13</v>
      </c>
      <c r="E3" s="4">
        <v>100</v>
      </c>
      <c r="F3" s="4" t="s">
        <v>10</v>
      </c>
      <c r="G3" s="4" t="s">
        <v>11</v>
      </c>
    </row>
    <row r="4" spans="1:7" ht="25.5" x14ac:dyDescent="0.25">
      <c r="A4" s="4">
        <v>3</v>
      </c>
      <c r="B4" s="4" t="s">
        <v>14</v>
      </c>
      <c r="C4" s="4" t="s">
        <v>8</v>
      </c>
      <c r="D4" s="5" t="s">
        <v>15</v>
      </c>
      <c r="E4" s="4">
        <v>100</v>
      </c>
      <c r="F4" s="4" t="s">
        <v>10</v>
      </c>
      <c r="G4" s="4" t="s">
        <v>11</v>
      </c>
    </row>
    <row r="5" spans="1:7" x14ac:dyDescent="0.25">
      <c r="A5" s="4">
        <v>4</v>
      </c>
      <c r="B5" s="4" t="s">
        <v>16</v>
      </c>
      <c r="C5" s="4" t="s">
        <v>8</v>
      </c>
      <c r="D5" s="5" t="s">
        <v>17</v>
      </c>
      <c r="E5" s="4">
        <v>100</v>
      </c>
      <c r="F5" s="4" t="s">
        <v>10</v>
      </c>
      <c r="G5" s="4" t="s">
        <v>11</v>
      </c>
    </row>
    <row r="6" spans="1:7" x14ac:dyDescent="0.25">
      <c r="A6" s="4">
        <v>5</v>
      </c>
      <c r="B6" s="4" t="s">
        <v>18</v>
      </c>
      <c r="C6" s="4" t="s">
        <v>8</v>
      </c>
      <c r="D6" s="5" t="s">
        <v>19</v>
      </c>
      <c r="E6" s="4">
        <v>100</v>
      </c>
      <c r="F6" s="4" t="s">
        <v>10</v>
      </c>
      <c r="G6" s="4" t="s">
        <v>11</v>
      </c>
    </row>
    <row r="7" spans="1:7" ht="25.5" x14ac:dyDescent="0.25">
      <c r="A7" s="4">
        <v>6</v>
      </c>
      <c r="B7" s="4" t="s">
        <v>20</v>
      </c>
      <c r="C7" s="4" t="s">
        <v>8</v>
      </c>
      <c r="D7" s="5" t="s">
        <v>21</v>
      </c>
      <c r="E7" s="4">
        <v>100</v>
      </c>
      <c r="F7" s="4" t="s">
        <v>10</v>
      </c>
      <c r="G7" s="4" t="s">
        <v>11</v>
      </c>
    </row>
    <row r="8" spans="1:7" x14ac:dyDescent="0.25">
      <c r="A8" s="4">
        <v>7</v>
      </c>
      <c r="B8" s="4" t="s">
        <v>22</v>
      </c>
      <c r="C8" s="4" t="s">
        <v>8</v>
      </c>
      <c r="D8" s="5" t="s">
        <v>23</v>
      </c>
      <c r="E8" s="4">
        <v>100</v>
      </c>
      <c r="F8" s="4" t="s">
        <v>10</v>
      </c>
      <c r="G8" s="4" t="s">
        <v>11</v>
      </c>
    </row>
    <row r="9" spans="1:7" x14ac:dyDescent="0.25">
      <c r="A9" s="4">
        <v>8</v>
      </c>
      <c r="B9" s="4" t="s">
        <v>24</v>
      </c>
      <c r="C9" s="4" t="s">
        <v>8</v>
      </c>
      <c r="D9" s="5" t="s">
        <v>25</v>
      </c>
      <c r="E9" s="4">
        <v>100</v>
      </c>
      <c r="F9" s="4" t="s">
        <v>10</v>
      </c>
      <c r="G9" s="4" t="s">
        <v>11</v>
      </c>
    </row>
    <row r="10" spans="1:7" x14ac:dyDescent="0.25">
      <c r="A10" s="4">
        <v>9</v>
      </c>
      <c r="B10" s="4" t="s">
        <v>26</v>
      </c>
      <c r="C10" s="4" t="s">
        <v>8</v>
      </c>
      <c r="D10" s="5" t="s">
        <v>27</v>
      </c>
      <c r="E10" s="4">
        <v>100</v>
      </c>
      <c r="F10" s="4" t="s">
        <v>10</v>
      </c>
      <c r="G10" s="4" t="s">
        <v>11</v>
      </c>
    </row>
    <row r="11" spans="1:7" x14ac:dyDescent="0.25">
      <c r="A11" s="4">
        <v>10</v>
      </c>
      <c r="B11" s="4" t="s">
        <v>28</v>
      </c>
      <c r="C11" s="4" t="s">
        <v>8</v>
      </c>
      <c r="D11" s="5" t="s">
        <v>29</v>
      </c>
      <c r="E11" s="4">
        <v>100</v>
      </c>
      <c r="F11" s="4" t="s">
        <v>10</v>
      </c>
      <c r="G11" s="4" t="s">
        <v>11</v>
      </c>
    </row>
    <row r="12" spans="1:7" x14ac:dyDescent="0.25">
      <c r="A12" s="4">
        <v>11</v>
      </c>
      <c r="B12" s="4" t="s">
        <v>30</v>
      </c>
      <c r="C12" s="4" t="s">
        <v>8</v>
      </c>
      <c r="D12" s="5" t="s">
        <v>31</v>
      </c>
      <c r="E12" s="4">
        <v>100</v>
      </c>
      <c r="F12" s="4" t="s">
        <v>10</v>
      </c>
      <c r="G12" s="4" t="s">
        <v>11</v>
      </c>
    </row>
    <row r="13" spans="1:7" x14ac:dyDescent="0.25">
      <c r="A13" s="4">
        <v>12</v>
      </c>
      <c r="B13" s="4" t="s">
        <v>32</v>
      </c>
      <c r="C13" s="4" t="s">
        <v>8</v>
      </c>
      <c r="D13" s="5" t="s">
        <v>33</v>
      </c>
      <c r="E13" s="4">
        <v>100</v>
      </c>
      <c r="F13" s="4" t="s">
        <v>10</v>
      </c>
      <c r="G13" s="4" t="s">
        <v>11</v>
      </c>
    </row>
    <row r="14" spans="1:7" x14ac:dyDescent="0.25">
      <c r="A14" s="4">
        <v>13</v>
      </c>
      <c r="B14" s="4" t="s">
        <v>34</v>
      </c>
      <c r="C14" s="4" t="s">
        <v>8</v>
      </c>
      <c r="D14" s="5" t="s">
        <v>35</v>
      </c>
      <c r="E14" s="4">
        <v>100</v>
      </c>
      <c r="F14" s="4" t="s">
        <v>10</v>
      </c>
      <c r="G14" s="4" t="s">
        <v>11</v>
      </c>
    </row>
    <row r="15" spans="1:7" x14ac:dyDescent="0.25">
      <c r="A15" s="4">
        <v>14</v>
      </c>
      <c r="B15" s="4" t="s">
        <v>36</v>
      </c>
      <c r="C15" s="4" t="s">
        <v>8</v>
      </c>
      <c r="D15" s="5" t="s">
        <v>37</v>
      </c>
      <c r="E15" s="4">
        <v>100</v>
      </c>
      <c r="F15" s="4" t="s">
        <v>10</v>
      </c>
      <c r="G15" s="4" t="s">
        <v>11</v>
      </c>
    </row>
    <row r="16" spans="1:7" x14ac:dyDescent="0.25">
      <c r="A16" s="4">
        <v>15</v>
      </c>
      <c r="B16" s="4" t="s">
        <v>38</v>
      </c>
      <c r="C16" s="4" t="s">
        <v>8</v>
      </c>
      <c r="D16" s="5" t="s">
        <v>39</v>
      </c>
      <c r="E16" s="4">
        <v>85</v>
      </c>
      <c r="F16" s="4" t="s">
        <v>10</v>
      </c>
      <c r="G16" s="4" t="s">
        <v>11</v>
      </c>
    </row>
    <row r="17" spans="1:7" x14ac:dyDescent="0.25">
      <c r="A17" s="6">
        <v>16</v>
      </c>
      <c r="B17" s="6" t="s">
        <v>40</v>
      </c>
      <c r="C17" s="6" t="s">
        <v>41</v>
      </c>
      <c r="D17" s="7" t="s">
        <v>42</v>
      </c>
      <c r="E17" s="6">
        <v>74</v>
      </c>
      <c r="F17" s="6" t="s">
        <v>10</v>
      </c>
      <c r="G17" s="6" t="s">
        <v>11</v>
      </c>
    </row>
    <row r="18" spans="1:7" x14ac:dyDescent="0.25">
      <c r="A18" s="6">
        <v>17</v>
      </c>
      <c r="B18" s="6" t="s">
        <v>43</v>
      </c>
      <c r="C18" s="6" t="s">
        <v>41</v>
      </c>
      <c r="D18" s="7" t="s">
        <v>44</v>
      </c>
      <c r="E18" s="6">
        <v>74</v>
      </c>
      <c r="F18" s="6" t="s">
        <v>10</v>
      </c>
      <c r="G18" s="6" t="s">
        <v>11</v>
      </c>
    </row>
    <row r="19" spans="1:7" x14ac:dyDescent="0.25">
      <c r="A19" s="6">
        <v>18</v>
      </c>
      <c r="B19" s="6" t="s">
        <v>45</v>
      </c>
      <c r="C19" s="6" t="s">
        <v>41</v>
      </c>
      <c r="D19" s="7" t="s">
        <v>46</v>
      </c>
      <c r="E19" s="6">
        <v>50</v>
      </c>
      <c r="F19" s="6" t="s">
        <v>10</v>
      </c>
      <c r="G19" s="6" t="s">
        <v>11</v>
      </c>
    </row>
    <row r="20" spans="1:7" x14ac:dyDescent="0.25">
      <c r="A20" s="6">
        <v>19</v>
      </c>
      <c r="B20" s="6" t="s">
        <v>47</v>
      </c>
      <c r="C20" s="6" t="s">
        <v>41</v>
      </c>
      <c r="D20" s="7" t="s">
        <v>48</v>
      </c>
      <c r="E20" s="6">
        <v>50</v>
      </c>
      <c r="F20" s="6" t="s">
        <v>10</v>
      </c>
      <c r="G20" s="6" t="s">
        <v>11</v>
      </c>
    </row>
    <row r="21" spans="1:7" ht="25.5" x14ac:dyDescent="0.25">
      <c r="A21" s="6">
        <v>20</v>
      </c>
      <c r="B21" s="6" t="s">
        <v>49</v>
      </c>
      <c r="C21" s="6" t="s">
        <v>41</v>
      </c>
      <c r="D21" s="7" t="s">
        <v>50</v>
      </c>
      <c r="E21" s="6">
        <v>50</v>
      </c>
      <c r="F21" s="6" t="s">
        <v>10</v>
      </c>
      <c r="G21" s="6" t="s">
        <v>11</v>
      </c>
    </row>
    <row r="22" spans="1:7" x14ac:dyDescent="0.25">
      <c r="A22" s="6">
        <v>21</v>
      </c>
      <c r="B22" s="6" t="s">
        <v>51</v>
      </c>
      <c r="C22" s="6" t="s">
        <v>41</v>
      </c>
      <c r="D22" s="7" t="s">
        <v>52</v>
      </c>
      <c r="E22" s="6">
        <v>50</v>
      </c>
      <c r="F22" s="6" t="s">
        <v>10</v>
      </c>
      <c r="G22" s="6" t="s">
        <v>11</v>
      </c>
    </row>
    <row r="23" spans="1:7" ht="25.5" x14ac:dyDescent="0.25">
      <c r="A23" s="6">
        <v>22</v>
      </c>
      <c r="B23" s="6" t="s">
        <v>53</v>
      </c>
      <c r="C23" s="6" t="s">
        <v>41</v>
      </c>
      <c r="D23" s="7" t="s">
        <v>54</v>
      </c>
      <c r="E23" s="6">
        <v>50</v>
      </c>
      <c r="F23" s="6" t="s">
        <v>10</v>
      </c>
      <c r="G23" s="6" t="s">
        <v>11</v>
      </c>
    </row>
    <row r="24" spans="1:7" x14ac:dyDescent="0.25">
      <c r="A24" s="6">
        <v>23</v>
      </c>
      <c r="B24" s="6" t="s">
        <v>55</v>
      </c>
      <c r="C24" s="6" t="s">
        <v>41</v>
      </c>
      <c r="D24" s="7" t="s">
        <v>56</v>
      </c>
      <c r="E24" s="6">
        <v>50</v>
      </c>
      <c r="F24" s="6" t="s">
        <v>10</v>
      </c>
      <c r="G24" s="6" t="s">
        <v>11</v>
      </c>
    </row>
    <row r="25" spans="1:7" x14ac:dyDescent="0.25">
      <c r="A25" s="6">
        <v>24</v>
      </c>
      <c r="B25" s="6" t="s">
        <v>57</v>
      </c>
      <c r="C25" s="6" t="s">
        <v>41</v>
      </c>
      <c r="D25" s="7" t="s">
        <v>58</v>
      </c>
      <c r="E25" s="6">
        <v>50</v>
      </c>
      <c r="F25" s="6" t="s">
        <v>10</v>
      </c>
      <c r="G25" s="6" t="s">
        <v>11</v>
      </c>
    </row>
    <row r="26" spans="1:7" x14ac:dyDescent="0.25">
      <c r="A26" s="6">
        <v>25</v>
      </c>
      <c r="B26" s="6" t="s">
        <v>59</v>
      </c>
      <c r="C26" s="6" t="s">
        <v>41</v>
      </c>
      <c r="D26" s="7" t="s">
        <v>60</v>
      </c>
      <c r="E26" s="6">
        <v>40</v>
      </c>
      <c r="F26" s="6" t="s">
        <v>10</v>
      </c>
      <c r="G26" s="6" t="s">
        <v>11</v>
      </c>
    </row>
    <row r="27" spans="1:7" x14ac:dyDescent="0.25">
      <c r="A27" s="6">
        <v>26</v>
      </c>
      <c r="B27" s="6" t="s">
        <v>61</v>
      </c>
      <c r="C27" s="6" t="s">
        <v>41</v>
      </c>
      <c r="D27" s="7" t="s">
        <v>62</v>
      </c>
      <c r="E27" s="6">
        <v>40</v>
      </c>
      <c r="F27" s="6" t="s">
        <v>10</v>
      </c>
      <c r="G27" s="6" t="s">
        <v>11</v>
      </c>
    </row>
    <row r="28" spans="1:7" ht="25.5" x14ac:dyDescent="0.25">
      <c r="A28" s="6">
        <v>27</v>
      </c>
      <c r="B28" s="6" t="s">
        <v>63</v>
      </c>
      <c r="C28" s="6" t="s">
        <v>41</v>
      </c>
      <c r="D28" s="7" t="s">
        <v>64</v>
      </c>
      <c r="E28" s="6">
        <v>40</v>
      </c>
      <c r="F28" s="6" t="s">
        <v>10</v>
      </c>
      <c r="G28" s="6" t="s">
        <v>11</v>
      </c>
    </row>
    <row r="29" spans="1:7" x14ac:dyDescent="0.25">
      <c r="A29" s="6">
        <v>28</v>
      </c>
      <c r="B29" s="6" t="s">
        <v>65</v>
      </c>
      <c r="C29" s="6" t="s">
        <v>41</v>
      </c>
      <c r="D29" s="7" t="s">
        <v>66</v>
      </c>
      <c r="E29" s="6">
        <v>40</v>
      </c>
      <c r="F29" s="6" t="s">
        <v>10</v>
      </c>
      <c r="G29" s="6" t="s">
        <v>11</v>
      </c>
    </row>
    <row r="30" spans="1:7" ht="25.5" x14ac:dyDescent="0.25">
      <c r="A30" s="6">
        <v>29</v>
      </c>
      <c r="B30" s="6" t="s">
        <v>67</v>
      </c>
      <c r="C30" s="6" t="s">
        <v>41</v>
      </c>
      <c r="D30" s="7" t="s">
        <v>68</v>
      </c>
      <c r="E30" s="6">
        <v>35</v>
      </c>
      <c r="F30" s="6" t="s">
        <v>10</v>
      </c>
      <c r="G30" s="6" t="s">
        <v>11</v>
      </c>
    </row>
    <row r="31" spans="1:7" x14ac:dyDescent="0.25">
      <c r="A31" s="6">
        <v>30</v>
      </c>
      <c r="B31" s="6" t="s">
        <v>69</v>
      </c>
      <c r="C31" s="6" t="s">
        <v>41</v>
      </c>
      <c r="D31" s="7" t="s">
        <v>70</v>
      </c>
      <c r="E31" s="6">
        <v>35</v>
      </c>
      <c r="F31" s="6" t="s">
        <v>10</v>
      </c>
      <c r="G31" s="6" t="s">
        <v>11</v>
      </c>
    </row>
    <row r="32" spans="1:7" ht="25.5" x14ac:dyDescent="0.25">
      <c r="A32" s="6">
        <v>31</v>
      </c>
      <c r="B32" s="6" t="s">
        <v>71</v>
      </c>
      <c r="C32" s="6" t="s">
        <v>41</v>
      </c>
      <c r="D32" s="7" t="s">
        <v>72</v>
      </c>
      <c r="E32" s="6">
        <v>35</v>
      </c>
      <c r="F32" s="6" t="s">
        <v>10</v>
      </c>
      <c r="G32" s="6" t="s">
        <v>11</v>
      </c>
    </row>
    <row r="33" spans="1:7" x14ac:dyDescent="0.25">
      <c r="A33" s="6">
        <v>32</v>
      </c>
      <c r="B33" s="6" t="s">
        <v>73</v>
      </c>
      <c r="C33" s="6" t="s">
        <v>41</v>
      </c>
      <c r="D33" s="7" t="s">
        <v>74</v>
      </c>
      <c r="E33" s="6">
        <v>35</v>
      </c>
      <c r="F33" s="6" t="s">
        <v>10</v>
      </c>
      <c r="G33" s="6" t="s">
        <v>11</v>
      </c>
    </row>
    <row r="34" spans="1:7" x14ac:dyDescent="0.25">
      <c r="A34" s="6">
        <v>33</v>
      </c>
      <c r="B34" s="6" t="s">
        <v>75</v>
      </c>
      <c r="C34" s="6" t="s">
        <v>41</v>
      </c>
      <c r="D34" s="7" t="s">
        <v>76</v>
      </c>
      <c r="E34" s="6">
        <v>35</v>
      </c>
      <c r="F34" s="6" t="s">
        <v>10</v>
      </c>
      <c r="G34" s="6" t="s">
        <v>11</v>
      </c>
    </row>
    <row r="35" spans="1:7" x14ac:dyDescent="0.25">
      <c r="A35" s="6">
        <v>34</v>
      </c>
      <c r="B35" s="6" t="s">
        <v>77</v>
      </c>
      <c r="C35" s="6" t="s">
        <v>41</v>
      </c>
      <c r="D35" s="7" t="s">
        <v>78</v>
      </c>
      <c r="E35" s="6">
        <v>35</v>
      </c>
      <c r="F35" s="6" t="s">
        <v>10</v>
      </c>
      <c r="G35" s="6" t="s">
        <v>11</v>
      </c>
    </row>
    <row r="36" spans="1:7" x14ac:dyDescent="0.25">
      <c r="A36" s="6">
        <v>35</v>
      </c>
      <c r="B36" s="6" t="s">
        <v>79</v>
      </c>
      <c r="C36" s="6" t="s">
        <v>41</v>
      </c>
      <c r="D36" s="7" t="s">
        <v>80</v>
      </c>
      <c r="E36" s="6">
        <v>35</v>
      </c>
      <c r="F36" s="6" t="s">
        <v>10</v>
      </c>
      <c r="G36" s="6" t="s">
        <v>11</v>
      </c>
    </row>
    <row r="37" spans="1:7" x14ac:dyDescent="0.25">
      <c r="A37" s="8">
        <v>36</v>
      </c>
      <c r="B37" s="8" t="s">
        <v>81</v>
      </c>
      <c r="C37" s="8" t="s">
        <v>82</v>
      </c>
      <c r="D37" s="9" t="s">
        <v>83</v>
      </c>
      <c r="E37" s="8">
        <v>30</v>
      </c>
      <c r="F37" s="8" t="s">
        <v>10</v>
      </c>
      <c r="G37" s="8" t="s">
        <v>11</v>
      </c>
    </row>
    <row r="38" spans="1:7" x14ac:dyDescent="0.25">
      <c r="A38" s="8">
        <v>37</v>
      </c>
      <c r="B38" s="8" t="s">
        <v>84</v>
      </c>
      <c r="C38" s="8" t="s">
        <v>82</v>
      </c>
      <c r="D38" s="9" t="s">
        <v>85</v>
      </c>
      <c r="E38" s="8">
        <v>25</v>
      </c>
      <c r="F38" s="8" t="s">
        <v>10</v>
      </c>
      <c r="G38" s="8" t="s">
        <v>11</v>
      </c>
    </row>
    <row r="39" spans="1:7" x14ac:dyDescent="0.25">
      <c r="A39" s="8">
        <v>38</v>
      </c>
      <c r="B39" s="8" t="s">
        <v>86</v>
      </c>
      <c r="C39" s="8" t="s">
        <v>82</v>
      </c>
      <c r="D39" s="9" t="s">
        <v>87</v>
      </c>
      <c r="E39" s="8">
        <v>25</v>
      </c>
      <c r="F39" s="8" t="s">
        <v>10</v>
      </c>
      <c r="G39" s="8" t="s">
        <v>11</v>
      </c>
    </row>
    <row r="40" spans="1:7" x14ac:dyDescent="0.25">
      <c r="A40" s="8">
        <v>39</v>
      </c>
      <c r="B40" s="8" t="s">
        <v>88</v>
      </c>
      <c r="C40" s="8" t="s">
        <v>82</v>
      </c>
      <c r="D40" s="9" t="s">
        <v>89</v>
      </c>
      <c r="E40" s="8">
        <v>20</v>
      </c>
      <c r="F40" s="8" t="s">
        <v>10</v>
      </c>
      <c r="G40" s="8" t="s">
        <v>11</v>
      </c>
    </row>
    <row r="41" spans="1:7" x14ac:dyDescent="0.25">
      <c r="A41" s="8">
        <v>40</v>
      </c>
      <c r="B41" s="8" t="s">
        <v>90</v>
      </c>
      <c r="C41" s="8" t="s">
        <v>82</v>
      </c>
      <c r="D41" s="9" t="s">
        <v>91</v>
      </c>
      <c r="E41" s="8">
        <v>15</v>
      </c>
      <c r="F41" s="8" t="s">
        <v>10</v>
      </c>
      <c r="G41" s="8" t="s">
        <v>11</v>
      </c>
    </row>
    <row r="42" spans="1:7" x14ac:dyDescent="0.25">
      <c r="A42" s="8">
        <v>41</v>
      </c>
      <c r="B42" s="8" t="s">
        <v>92</v>
      </c>
      <c r="C42" s="8" t="s">
        <v>82</v>
      </c>
      <c r="D42" s="9" t="s">
        <v>93</v>
      </c>
      <c r="E42" s="8">
        <v>10</v>
      </c>
      <c r="F42" s="8" t="s">
        <v>10</v>
      </c>
      <c r="G42" s="8" t="s">
        <v>11</v>
      </c>
    </row>
    <row r="43" spans="1:7" x14ac:dyDescent="0.25">
      <c r="A43" s="8">
        <v>42</v>
      </c>
      <c r="B43" s="8" t="s">
        <v>94</v>
      </c>
      <c r="C43" s="8" t="s">
        <v>82</v>
      </c>
      <c r="D43" s="9" t="s">
        <v>95</v>
      </c>
      <c r="E43" s="8">
        <v>10</v>
      </c>
      <c r="F43" s="8" t="s">
        <v>10</v>
      </c>
      <c r="G43" s="8" t="s">
        <v>11</v>
      </c>
    </row>
    <row r="44" spans="1:7" x14ac:dyDescent="0.25">
      <c r="A44" s="8">
        <v>43</v>
      </c>
      <c r="B44" s="8" t="s">
        <v>96</v>
      </c>
      <c r="C44" s="8" t="s">
        <v>82</v>
      </c>
      <c r="D44" s="9" t="s">
        <v>97</v>
      </c>
      <c r="E44" s="8">
        <v>10</v>
      </c>
      <c r="F44" s="8" t="s">
        <v>10</v>
      </c>
      <c r="G44" s="8" t="s">
        <v>11</v>
      </c>
    </row>
    <row r="45" spans="1:7" x14ac:dyDescent="0.25">
      <c r="A45" s="8">
        <v>44</v>
      </c>
      <c r="B45" s="8" t="s">
        <v>98</v>
      </c>
      <c r="C45" s="8" t="s">
        <v>82</v>
      </c>
      <c r="D45" s="9" t="s">
        <v>99</v>
      </c>
      <c r="E45" s="8">
        <v>10</v>
      </c>
      <c r="F45" s="8" t="s">
        <v>10</v>
      </c>
      <c r="G45" s="8" t="s">
        <v>11</v>
      </c>
    </row>
    <row r="46" spans="1:7" x14ac:dyDescent="0.25">
      <c r="A46" s="8">
        <v>45</v>
      </c>
      <c r="B46" s="8" t="s">
        <v>100</v>
      </c>
      <c r="C46" s="8" t="s">
        <v>82</v>
      </c>
      <c r="D46" s="9" t="s">
        <v>101</v>
      </c>
      <c r="E46" s="8">
        <v>10</v>
      </c>
      <c r="F46" s="8" t="s">
        <v>10</v>
      </c>
      <c r="G46" s="8" t="s">
        <v>11</v>
      </c>
    </row>
    <row r="47" spans="1:7" x14ac:dyDescent="0.25">
      <c r="A47" s="8">
        <v>46</v>
      </c>
      <c r="B47" s="8" t="s">
        <v>102</v>
      </c>
      <c r="C47" s="8" t="s">
        <v>82</v>
      </c>
      <c r="D47" s="9" t="s">
        <v>103</v>
      </c>
      <c r="E47" s="8">
        <v>10</v>
      </c>
      <c r="F47" s="8" t="s">
        <v>10</v>
      </c>
      <c r="G47" s="8" t="s">
        <v>11</v>
      </c>
    </row>
    <row r="48" spans="1:7" x14ac:dyDescent="0.25">
      <c r="A48" s="8">
        <v>47</v>
      </c>
      <c r="B48" s="8" t="s">
        <v>104</v>
      </c>
      <c r="C48" s="8" t="s">
        <v>82</v>
      </c>
      <c r="D48" s="9" t="s">
        <v>105</v>
      </c>
      <c r="E48" s="8">
        <v>7</v>
      </c>
      <c r="F48" s="8" t="s">
        <v>10</v>
      </c>
      <c r="G48" s="8" t="s">
        <v>11</v>
      </c>
    </row>
    <row r="49" spans="1:7" x14ac:dyDescent="0.25">
      <c r="A49" s="8">
        <v>48</v>
      </c>
      <c r="B49" s="8" t="s">
        <v>106</v>
      </c>
      <c r="C49" s="8" t="s">
        <v>82</v>
      </c>
      <c r="D49" s="9" t="s">
        <v>107</v>
      </c>
      <c r="E49" s="8">
        <v>5</v>
      </c>
      <c r="F49" s="8" t="s">
        <v>10</v>
      </c>
      <c r="G49" s="8" t="s">
        <v>11</v>
      </c>
    </row>
    <row r="50" spans="1:7" x14ac:dyDescent="0.25">
      <c r="A50" s="8">
        <v>49</v>
      </c>
      <c r="B50" s="8" t="s">
        <v>108</v>
      </c>
      <c r="C50" s="8" t="s">
        <v>82</v>
      </c>
      <c r="D50" s="9" t="s">
        <v>109</v>
      </c>
      <c r="E50" s="8">
        <v>5</v>
      </c>
      <c r="F50" s="8" t="s">
        <v>10</v>
      </c>
      <c r="G50" s="8" t="s">
        <v>11</v>
      </c>
    </row>
    <row r="51" spans="1:7" x14ac:dyDescent="0.25">
      <c r="A51" s="8">
        <v>50</v>
      </c>
      <c r="B51" s="8" t="s">
        <v>110</v>
      </c>
      <c r="C51" s="8" t="s">
        <v>82</v>
      </c>
      <c r="D51" s="9" t="s">
        <v>111</v>
      </c>
      <c r="E51" s="8">
        <v>5</v>
      </c>
      <c r="F51" s="8" t="s">
        <v>10</v>
      </c>
      <c r="G51" s="8" t="s">
        <v>11</v>
      </c>
    </row>
    <row r="52" spans="1:7" x14ac:dyDescent="0.25">
      <c r="A52" s="8">
        <v>51</v>
      </c>
      <c r="B52" s="8" t="s">
        <v>112</v>
      </c>
      <c r="C52" s="8" t="s">
        <v>82</v>
      </c>
      <c r="D52" s="9" t="s">
        <v>113</v>
      </c>
      <c r="E52" s="8">
        <v>5</v>
      </c>
      <c r="F52" s="8" t="s">
        <v>10</v>
      </c>
      <c r="G52" s="8" t="s">
        <v>11</v>
      </c>
    </row>
    <row r="53" spans="1:7" x14ac:dyDescent="0.25">
      <c r="A53" s="8">
        <v>52</v>
      </c>
      <c r="B53" s="8" t="s">
        <v>114</v>
      </c>
      <c r="C53" s="8" t="s">
        <v>82</v>
      </c>
      <c r="D53" s="9" t="s">
        <v>115</v>
      </c>
      <c r="E53" s="8">
        <v>5</v>
      </c>
      <c r="F53" s="8" t="s">
        <v>10</v>
      </c>
      <c r="G53" s="8" t="s">
        <v>11</v>
      </c>
    </row>
    <row r="54" spans="1:7" x14ac:dyDescent="0.25">
      <c r="A54" s="8">
        <v>53</v>
      </c>
      <c r="B54" s="8" t="s">
        <v>116</v>
      </c>
      <c r="C54" s="8" t="s">
        <v>82</v>
      </c>
      <c r="D54" s="9" t="s">
        <v>117</v>
      </c>
      <c r="E54" s="8">
        <v>5</v>
      </c>
      <c r="F54" s="8" t="s">
        <v>10</v>
      </c>
      <c r="G54" s="8" t="s">
        <v>11</v>
      </c>
    </row>
    <row r="55" spans="1:7" x14ac:dyDescent="0.25">
      <c r="A55" s="8">
        <v>54</v>
      </c>
      <c r="B55" s="8" t="s">
        <v>118</v>
      </c>
      <c r="C55" s="8" t="s">
        <v>82</v>
      </c>
      <c r="D55" s="9" t="s">
        <v>119</v>
      </c>
      <c r="E55" s="8">
        <v>5</v>
      </c>
      <c r="F55" s="8" t="s">
        <v>10</v>
      </c>
      <c r="G55" s="8" t="s">
        <v>11</v>
      </c>
    </row>
    <row r="56" spans="1:7" x14ac:dyDescent="0.25">
      <c r="A56" s="8">
        <v>55</v>
      </c>
      <c r="B56" s="8" t="s">
        <v>120</v>
      </c>
      <c r="C56" s="8" t="s">
        <v>82</v>
      </c>
      <c r="D56" s="9" t="s">
        <v>121</v>
      </c>
      <c r="E56" s="8">
        <v>4</v>
      </c>
      <c r="F56" s="8" t="s">
        <v>10</v>
      </c>
      <c r="G56" s="8" t="s">
        <v>11</v>
      </c>
    </row>
    <row r="57" spans="1:7" x14ac:dyDescent="0.25">
      <c r="A57" s="8">
        <v>56</v>
      </c>
      <c r="B57" s="8" t="s">
        <v>122</v>
      </c>
      <c r="C57" s="8" t="s">
        <v>82</v>
      </c>
      <c r="D57" s="9" t="s">
        <v>123</v>
      </c>
      <c r="E57" s="8">
        <v>2</v>
      </c>
      <c r="F57" s="8" t="s">
        <v>10</v>
      </c>
      <c r="G57" s="8" t="s">
        <v>11</v>
      </c>
    </row>
    <row r="58" spans="1:7" x14ac:dyDescent="0.25">
      <c r="A58" s="8">
        <v>57</v>
      </c>
      <c r="B58" s="8" t="s">
        <v>124</v>
      </c>
      <c r="C58" s="8" t="s">
        <v>82</v>
      </c>
      <c r="D58" s="9" t="s">
        <v>125</v>
      </c>
      <c r="E58" s="8">
        <v>2</v>
      </c>
      <c r="F58" s="8" t="s">
        <v>10</v>
      </c>
      <c r="G58" s="8" t="s">
        <v>11</v>
      </c>
    </row>
    <row r="59" spans="1:7" ht="25.5" x14ac:dyDescent="0.25">
      <c r="A59" s="10">
        <v>58</v>
      </c>
      <c r="B59" s="10" t="s">
        <v>126</v>
      </c>
      <c r="C59" s="10" t="s">
        <v>127</v>
      </c>
      <c r="D59" s="11" t="s">
        <v>128</v>
      </c>
      <c r="E59" s="10">
        <v>100</v>
      </c>
      <c r="F59" s="10" t="s">
        <v>129</v>
      </c>
      <c r="G59" s="10" t="s">
        <v>11</v>
      </c>
    </row>
    <row r="60" spans="1:7" ht="25.5" x14ac:dyDescent="0.25">
      <c r="A60" s="10">
        <v>59</v>
      </c>
      <c r="B60" s="10" t="s">
        <v>130</v>
      </c>
      <c r="C60" s="10" t="s">
        <v>127</v>
      </c>
      <c r="D60" s="11" t="s">
        <v>131</v>
      </c>
      <c r="E60" s="10">
        <v>100</v>
      </c>
      <c r="F60" s="10" t="s">
        <v>129</v>
      </c>
      <c r="G60" s="10" t="s">
        <v>11</v>
      </c>
    </row>
    <row r="61" spans="1:7" ht="25.5" x14ac:dyDescent="0.25">
      <c r="A61" s="10">
        <v>60</v>
      </c>
      <c r="B61" s="10" t="s">
        <v>132</v>
      </c>
      <c r="C61" s="10" t="s">
        <v>127</v>
      </c>
      <c r="D61" s="11" t="s">
        <v>133</v>
      </c>
      <c r="E61" s="10">
        <v>2</v>
      </c>
      <c r="F61" s="10" t="s">
        <v>129</v>
      </c>
      <c r="G61" s="10" t="s">
        <v>11</v>
      </c>
    </row>
    <row r="62" spans="1:7" ht="25.5" x14ac:dyDescent="0.25">
      <c r="A62" s="10">
        <v>61</v>
      </c>
      <c r="B62" s="10" t="s">
        <v>134</v>
      </c>
      <c r="C62" s="10" t="s">
        <v>127</v>
      </c>
      <c r="D62" s="11" t="s">
        <v>135</v>
      </c>
      <c r="E62" s="10">
        <v>2</v>
      </c>
      <c r="F62" s="10" t="s">
        <v>129</v>
      </c>
      <c r="G62" s="10" t="s">
        <v>11</v>
      </c>
    </row>
    <row r="63" spans="1:7" ht="25.5" x14ac:dyDescent="0.25">
      <c r="A63" s="10">
        <v>62</v>
      </c>
      <c r="B63" s="10" t="s">
        <v>136</v>
      </c>
      <c r="C63" s="10" t="s">
        <v>127</v>
      </c>
      <c r="D63" s="11" t="s">
        <v>137</v>
      </c>
      <c r="E63" s="10">
        <v>2</v>
      </c>
      <c r="F63" s="10" t="s">
        <v>129</v>
      </c>
      <c r="G63" s="10" t="s">
        <v>11</v>
      </c>
    </row>
    <row r="64" spans="1:7" ht="25.5" x14ac:dyDescent="0.25">
      <c r="A64" s="10">
        <v>63</v>
      </c>
      <c r="B64" s="10" t="s">
        <v>138</v>
      </c>
      <c r="C64" s="10" t="s">
        <v>127</v>
      </c>
      <c r="D64" s="11" t="s">
        <v>139</v>
      </c>
      <c r="E64" s="10">
        <v>2</v>
      </c>
      <c r="F64" s="10" t="s">
        <v>129</v>
      </c>
      <c r="G64" s="10" t="s">
        <v>11</v>
      </c>
    </row>
    <row r="65" spans="1:7" ht="25.5" x14ac:dyDescent="0.25">
      <c r="A65" s="10">
        <v>64</v>
      </c>
      <c r="B65" s="10" t="s">
        <v>140</v>
      </c>
      <c r="C65" s="10" t="s">
        <v>127</v>
      </c>
      <c r="D65" s="11" t="s">
        <v>141</v>
      </c>
      <c r="E65" s="10">
        <v>2</v>
      </c>
      <c r="F65" s="10" t="s">
        <v>129</v>
      </c>
      <c r="G65" s="10" t="s">
        <v>11</v>
      </c>
    </row>
    <row r="66" spans="1:7" ht="25.5" x14ac:dyDescent="0.25">
      <c r="A66" s="10">
        <v>65</v>
      </c>
      <c r="B66" s="10" t="s">
        <v>142</v>
      </c>
      <c r="C66" s="10" t="s">
        <v>127</v>
      </c>
      <c r="D66" s="11" t="s">
        <v>143</v>
      </c>
      <c r="E66" s="10">
        <v>2</v>
      </c>
      <c r="F66" s="10" t="s">
        <v>129</v>
      </c>
      <c r="G66" s="10" t="s">
        <v>11</v>
      </c>
    </row>
    <row r="67" spans="1:7" ht="25.5" x14ac:dyDescent="0.25">
      <c r="A67" s="10">
        <v>66</v>
      </c>
      <c r="B67" s="10" t="s">
        <v>144</v>
      </c>
      <c r="C67" s="10" t="s">
        <v>127</v>
      </c>
      <c r="D67" s="11" t="s">
        <v>145</v>
      </c>
      <c r="E67" s="10">
        <v>2</v>
      </c>
      <c r="F67" s="10" t="s">
        <v>129</v>
      </c>
      <c r="G67" s="10" t="s">
        <v>11</v>
      </c>
    </row>
    <row r="68" spans="1:7" ht="25.5" x14ac:dyDescent="0.25">
      <c r="A68" s="10">
        <v>67</v>
      </c>
      <c r="B68" s="10" t="s">
        <v>146</v>
      </c>
      <c r="C68" s="10" t="s">
        <v>127</v>
      </c>
      <c r="D68" s="11" t="s">
        <v>147</v>
      </c>
      <c r="E68" s="10">
        <v>4</v>
      </c>
      <c r="F68" s="10" t="s">
        <v>129</v>
      </c>
      <c r="G68" s="10" t="s">
        <v>11</v>
      </c>
    </row>
    <row r="69" spans="1:7" ht="25.5" x14ac:dyDescent="0.25">
      <c r="A69" s="10">
        <v>68</v>
      </c>
      <c r="B69" s="10" t="s">
        <v>148</v>
      </c>
      <c r="C69" s="10" t="s">
        <v>127</v>
      </c>
      <c r="D69" s="11" t="s">
        <v>149</v>
      </c>
      <c r="E69" s="10">
        <v>2</v>
      </c>
      <c r="F69" s="10" t="s">
        <v>129</v>
      </c>
      <c r="G69" s="10" t="s">
        <v>11</v>
      </c>
    </row>
    <row r="70" spans="1:7" ht="25.5" x14ac:dyDescent="0.25">
      <c r="A70" s="10">
        <v>69</v>
      </c>
      <c r="B70" s="10" t="s">
        <v>150</v>
      </c>
      <c r="C70" s="10" t="s">
        <v>127</v>
      </c>
      <c r="D70" s="11" t="s">
        <v>151</v>
      </c>
      <c r="E70" s="10">
        <v>2</v>
      </c>
      <c r="F70" s="10" t="s">
        <v>129</v>
      </c>
      <c r="G70" s="10" t="s">
        <v>11</v>
      </c>
    </row>
    <row r="71" spans="1:7" ht="25.5" x14ac:dyDescent="0.25">
      <c r="A71" s="10">
        <v>70</v>
      </c>
      <c r="B71" s="10" t="s">
        <v>152</v>
      </c>
      <c r="C71" s="10" t="s">
        <v>127</v>
      </c>
      <c r="D71" s="11" t="s">
        <v>153</v>
      </c>
      <c r="E71" s="10">
        <v>2</v>
      </c>
      <c r="F71" s="10" t="s">
        <v>129</v>
      </c>
      <c r="G71" s="10" t="s">
        <v>11</v>
      </c>
    </row>
    <row r="72" spans="1:7" ht="25.5" x14ac:dyDescent="0.25">
      <c r="A72" s="10">
        <v>71</v>
      </c>
      <c r="B72" s="10" t="s">
        <v>154</v>
      </c>
      <c r="C72" s="10" t="s">
        <v>127</v>
      </c>
      <c r="D72" s="11" t="s">
        <v>155</v>
      </c>
      <c r="E72" s="10">
        <v>2</v>
      </c>
      <c r="F72" s="10" t="s">
        <v>129</v>
      </c>
      <c r="G72" s="10" t="s">
        <v>11</v>
      </c>
    </row>
    <row r="73" spans="1:7" ht="25.5" x14ac:dyDescent="0.25">
      <c r="A73" s="10">
        <v>72</v>
      </c>
      <c r="B73" s="10" t="s">
        <v>156</v>
      </c>
      <c r="C73" s="10" t="s">
        <v>127</v>
      </c>
      <c r="D73" s="11" t="s">
        <v>157</v>
      </c>
      <c r="E73" s="10">
        <v>2</v>
      </c>
      <c r="F73" s="10" t="s">
        <v>129</v>
      </c>
      <c r="G73" s="10" t="s">
        <v>11</v>
      </c>
    </row>
  </sheetData>
  <dataValidations count="2">
    <dataValidation type="list" sqref="C2:C123" xr:uid="{00000000-0002-0000-0000-000000000000}">
      <formula1>"Berat,Sedang,Ringan,Kewajiban"</formula1>
      <formula2>0</formula2>
    </dataValidation>
    <dataValidation type="list" sqref="G2:G123" xr:uid="{00000000-0002-0000-0000-000001000000}">
      <formula1>"Aktif,Tidak Aktif"</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zoomScaleNormal="100" workbookViewId="0">
      <pane ySplit="4" topLeftCell="A5" activePane="bottomLeft" state="frozen"/>
      <selection pane="bottomLeft"/>
    </sheetView>
  </sheetViews>
  <sheetFormatPr defaultColWidth="8.7109375" defaultRowHeight="15" x14ac:dyDescent="0.25"/>
  <cols>
    <col min="1" max="1" width="18" customWidth="1"/>
    <col min="2" max="2" width="14" customWidth="1"/>
    <col min="3" max="4" width="10" customWidth="1"/>
    <col min="5" max="5" width="80" customWidth="1"/>
  </cols>
  <sheetData>
    <row r="1" spans="1:5" ht="18" x14ac:dyDescent="0.25">
      <c r="A1" s="2" t="s">
        <v>158</v>
      </c>
      <c r="B1" s="2"/>
      <c r="C1" s="2"/>
      <c r="D1" s="2"/>
      <c r="E1" s="2"/>
    </row>
    <row r="2" spans="1:5" x14ac:dyDescent="0.25">
      <c r="A2" s="1" t="s">
        <v>159</v>
      </c>
      <c r="B2" s="1"/>
      <c r="C2" s="1"/>
      <c r="D2" s="1"/>
      <c r="E2" s="1"/>
    </row>
    <row r="4" spans="1:5" ht="24" customHeight="1" x14ac:dyDescent="0.25">
      <c r="A4" s="3" t="s">
        <v>160</v>
      </c>
      <c r="B4" s="3" t="s">
        <v>161</v>
      </c>
      <c r="C4" s="3" t="s">
        <v>162</v>
      </c>
      <c r="D4" s="3" t="s">
        <v>163</v>
      </c>
      <c r="E4" s="3" t="s">
        <v>164</v>
      </c>
    </row>
    <row r="5" spans="1:5" x14ac:dyDescent="0.25">
      <c r="A5" s="8" t="s">
        <v>82</v>
      </c>
      <c r="B5" s="8" t="s">
        <v>165</v>
      </c>
      <c r="C5" s="8">
        <v>1</v>
      </c>
      <c r="D5" s="8">
        <v>20</v>
      </c>
      <c r="E5" s="9" t="s">
        <v>166</v>
      </c>
    </row>
    <row r="6" spans="1:5" x14ac:dyDescent="0.25">
      <c r="A6" s="8" t="s">
        <v>82</v>
      </c>
      <c r="B6" s="8" t="s">
        <v>167</v>
      </c>
      <c r="C6" s="8">
        <v>21</v>
      </c>
      <c r="D6" s="8">
        <v>34</v>
      </c>
      <c r="E6" s="9" t="s">
        <v>168</v>
      </c>
    </row>
    <row r="7" spans="1:5" ht="38.25" x14ac:dyDescent="0.25">
      <c r="A7" s="6" t="s">
        <v>41</v>
      </c>
      <c r="B7" s="6" t="s">
        <v>169</v>
      </c>
      <c r="C7" s="6">
        <v>35</v>
      </c>
      <c r="D7" s="6">
        <v>50</v>
      </c>
      <c r="E7" s="7" t="s">
        <v>170</v>
      </c>
    </row>
    <row r="8" spans="1:5" ht="38.25" x14ac:dyDescent="0.25">
      <c r="A8" s="6" t="s">
        <v>41</v>
      </c>
      <c r="B8" s="6" t="s">
        <v>171</v>
      </c>
      <c r="C8" s="6">
        <v>51</v>
      </c>
      <c r="D8" s="6">
        <v>74</v>
      </c>
      <c r="E8" s="7" t="s">
        <v>172</v>
      </c>
    </row>
    <row r="9" spans="1:5" ht="25.5" x14ac:dyDescent="0.25">
      <c r="A9" s="4" t="s">
        <v>8</v>
      </c>
      <c r="B9" s="4" t="s">
        <v>173</v>
      </c>
      <c r="C9" s="4">
        <v>75</v>
      </c>
      <c r="D9" s="4">
        <v>75</v>
      </c>
      <c r="E9" s="5" t="s">
        <v>174</v>
      </c>
    </row>
    <row r="10" spans="1:5" x14ac:dyDescent="0.25">
      <c r="A10" s="4" t="s">
        <v>8</v>
      </c>
      <c r="B10" s="4" t="s">
        <v>175</v>
      </c>
      <c r="C10" s="4">
        <v>100</v>
      </c>
      <c r="D10" s="4">
        <v>100</v>
      </c>
      <c r="E10" s="5" t="s">
        <v>176</v>
      </c>
    </row>
  </sheetData>
  <mergeCells count="2">
    <mergeCell ref="A1:E1"/>
    <mergeCell ref="A2:E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04"/>
  <sheetViews>
    <sheetView zoomScaleNormal="100" workbookViewId="0">
      <pane ySplit="4" topLeftCell="A5" activePane="bottomLeft" state="frozen"/>
      <selection pane="bottomLeft"/>
    </sheetView>
  </sheetViews>
  <sheetFormatPr defaultColWidth="8.7109375" defaultRowHeight="15" x14ac:dyDescent="0.25"/>
  <cols>
    <col min="1" max="1" width="5" customWidth="1"/>
    <col min="2" max="2" width="12" customWidth="1"/>
    <col min="3" max="3" width="20" customWidth="1"/>
    <col min="4" max="5" width="14" customWidth="1"/>
    <col min="6" max="6" width="10" customWidth="1"/>
    <col min="7" max="7" width="14" customWidth="1"/>
    <col min="8" max="8" width="45" customWidth="1"/>
    <col min="9" max="9" width="12" customWidth="1"/>
    <col min="10" max="10" width="9" customWidth="1"/>
    <col min="11" max="11" width="12" customWidth="1"/>
    <col min="12" max="12" width="45" customWidth="1"/>
    <col min="13" max="13" width="16" customWidth="1"/>
    <col min="14" max="14" width="20" customWidth="1"/>
  </cols>
  <sheetData>
    <row r="1" spans="1:14" ht="18" x14ac:dyDescent="0.25">
      <c r="A1" s="2" t="s">
        <v>177</v>
      </c>
      <c r="B1" s="2"/>
      <c r="C1" s="2"/>
      <c r="D1" s="2"/>
      <c r="E1" s="2"/>
      <c r="F1" s="2"/>
      <c r="G1" s="2"/>
      <c r="H1" s="2"/>
      <c r="I1" s="2"/>
      <c r="J1" s="2"/>
      <c r="K1" s="2"/>
      <c r="L1" s="2"/>
      <c r="M1" s="2"/>
      <c r="N1" s="2"/>
    </row>
    <row r="2" spans="1:14" x14ac:dyDescent="0.25">
      <c r="A2" s="1" t="s">
        <v>178</v>
      </c>
      <c r="B2" s="1"/>
      <c r="C2" s="1"/>
      <c r="D2" s="1"/>
      <c r="E2" s="1"/>
      <c r="F2" s="1"/>
      <c r="G2" s="1"/>
      <c r="H2" s="1"/>
      <c r="I2" s="1"/>
      <c r="J2" s="1"/>
      <c r="K2" s="1"/>
      <c r="L2" s="1"/>
      <c r="M2" s="1"/>
      <c r="N2" s="1"/>
    </row>
    <row r="4" spans="1:14" ht="24" customHeight="1" x14ac:dyDescent="0.25">
      <c r="A4" s="3" t="s">
        <v>0</v>
      </c>
      <c r="B4" s="3" t="s">
        <v>179</v>
      </c>
      <c r="C4" s="3" t="s">
        <v>180</v>
      </c>
      <c r="D4" s="3" t="s">
        <v>181</v>
      </c>
      <c r="E4" s="3" t="s">
        <v>182</v>
      </c>
      <c r="F4" s="3" t="s">
        <v>183</v>
      </c>
      <c r="G4" s="3" t="s">
        <v>1</v>
      </c>
      <c r="H4" s="3" t="s">
        <v>184</v>
      </c>
      <c r="I4" s="3" t="s">
        <v>185</v>
      </c>
      <c r="J4" s="3" t="s">
        <v>186</v>
      </c>
      <c r="K4" s="3" t="s">
        <v>187</v>
      </c>
      <c r="L4" s="3" t="s">
        <v>188</v>
      </c>
      <c r="M4" s="3" t="s">
        <v>189</v>
      </c>
      <c r="N4" s="3" t="s">
        <v>190</v>
      </c>
    </row>
    <row r="5" spans="1:14" x14ac:dyDescent="0.25">
      <c r="A5" s="12" t="str">
        <f t="shared" ref="A5:A36" si="0">IF(C5="","",ROW()-4)</f>
        <v/>
      </c>
      <c r="B5" s="12"/>
      <c r="C5" s="12"/>
      <c r="D5" s="12"/>
      <c r="E5" s="12"/>
      <c r="F5" s="12"/>
      <c r="G5" s="12"/>
      <c r="H5" s="13" t="str">
        <f>IFERROR(INDEX('Master Pelanggaran'!$D$2:$D$73,MATCH(G5,'Master Pelanggaran'!$B$2:$B$73,0)),"")</f>
        <v/>
      </c>
      <c r="I5" s="12" t="str">
        <f>IFERROR(INDEX('Master Pelanggaran'!$C$2:$C$73,MATCH(G5,'Master Pelanggaran'!$B$2:$B$73,0)),"")</f>
        <v/>
      </c>
      <c r="J5" s="12" t="str">
        <f>IFERROR(INDEX('Master Pelanggaran'!$E$2:$E$73,MATCH(G5,'Master Pelanggaran'!$B$2:$B$73,0)),"")</f>
        <v/>
      </c>
      <c r="K5" s="12" t="str">
        <f>IF(C5="","",SUMIFS($J$5:J5,$C$5:C5,C5))</f>
        <v/>
      </c>
      <c r="L5" s="13" t="str">
        <f t="shared" ref="L5:L36" si="1">IF(K5="","",IF(K5&gt;=100,"Dikembalikan ke orang tua",IF(K5&gt;=75,"Pemanggilan ortu (perjanjian); Pendampingan ahli; Wajib lapor shalat jama'ah; Larangan keluar 3 bulan",IF(K5&gt;=51,"Pemanggilan ortu (pernyataan); Digundul; Wajib lapor shalat 30 hari; Menghafal/menulis surat pilihan",IF(K5&gt;=35,"Pemanggilan ortu (peringatan); Digundul/jilbab pembinaan; Menghafal Juz 30/surat pilihan",IF(K5&gt;=21,"Pemberitahuan orang tua; Roan","Roan (Pembinaan)"))))))</f>
        <v/>
      </c>
      <c r="M5" s="12"/>
      <c r="N5" s="13"/>
    </row>
    <row r="6" spans="1:14" x14ac:dyDescent="0.25">
      <c r="A6" s="12" t="str">
        <f t="shared" si="0"/>
        <v/>
      </c>
      <c r="B6" s="12"/>
      <c r="C6" s="12"/>
      <c r="D6" s="12"/>
      <c r="E6" s="12"/>
      <c r="F6" s="12"/>
      <c r="G6" s="12"/>
      <c r="H6" s="13" t="str">
        <f>IFERROR(INDEX('Master Pelanggaran'!$D$2:$D$73,MATCH(G6,'Master Pelanggaran'!$B$2:$B$73,0)),"")</f>
        <v/>
      </c>
      <c r="I6" s="12" t="str">
        <f>IFERROR(INDEX('Master Pelanggaran'!$C$2:$C$73,MATCH(G6,'Master Pelanggaran'!$B$2:$B$73,0)),"")</f>
        <v/>
      </c>
      <c r="J6" s="12" t="str">
        <f>IFERROR(INDEX('Master Pelanggaran'!$E$2:$E$73,MATCH(G6,'Master Pelanggaran'!$B$2:$B$73,0)),"")</f>
        <v/>
      </c>
      <c r="K6" s="12" t="str">
        <f>IF(C6="","",SUMIFS($J$5:J6,$C$5:C6,C6))</f>
        <v/>
      </c>
      <c r="L6" s="13" t="str">
        <f t="shared" si="1"/>
        <v/>
      </c>
      <c r="M6" s="12"/>
      <c r="N6" s="13"/>
    </row>
    <row r="7" spans="1:14" x14ac:dyDescent="0.25">
      <c r="A7" s="12" t="str">
        <f t="shared" si="0"/>
        <v/>
      </c>
      <c r="B7" s="12"/>
      <c r="C7" s="12"/>
      <c r="D7" s="12"/>
      <c r="E7" s="12"/>
      <c r="F7" s="12"/>
      <c r="G7" s="12"/>
      <c r="H7" s="13" t="str">
        <f>IFERROR(INDEX('Master Pelanggaran'!$D$2:$D$73,MATCH(G7,'Master Pelanggaran'!$B$2:$B$73,0)),"")</f>
        <v/>
      </c>
      <c r="I7" s="12" t="str">
        <f>IFERROR(INDEX('Master Pelanggaran'!$C$2:$C$73,MATCH(G7,'Master Pelanggaran'!$B$2:$B$73,0)),"")</f>
        <v/>
      </c>
      <c r="J7" s="12" t="str">
        <f>IFERROR(INDEX('Master Pelanggaran'!$E$2:$E$73,MATCH(G7,'Master Pelanggaran'!$B$2:$B$73,0)),"")</f>
        <v/>
      </c>
      <c r="K7" s="12" t="str">
        <f>IF(C7="","",SUMIFS($J$5:J7,$C$5:C7,C7))</f>
        <v/>
      </c>
      <c r="L7" s="13" t="str">
        <f t="shared" si="1"/>
        <v/>
      </c>
      <c r="M7" s="12"/>
      <c r="N7" s="13"/>
    </row>
    <row r="8" spans="1:14" x14ac:dyDescent="0.25">
      <c r="A8" s="12" t="str">
        <f t="shared" si="0"/>
        <v/>
      </c>
      <c r="B8" s="12"/>
      <c r="C8" s="12"/>
      <c r="D8" s="12"/>
      <c r="E8" s="12"/>
      <c r="F8" s="12"/>
      <c r="G8" s="12"/>
      <c r="H8" s="13" t="str">
        <f>IFERROR(INDEX('Master Pelanggaran'!$D$2:$D$73,MATCH(G8,'Master Pelanggaran'!$B$2:$B$73,0)),"")</f>
        <v/>
      </c>
      <c r="I8" s="12" t="str">
        <f>IFERROR(INDEX('Master Pelanggaran'!$C$2:$C$73,MATCH(G8,'Master Pelanggaran'!$B$2:$B$73,0)),"")</f>
        <v/>
      </c>
      <c r="J8" s="12" t="str">
        <f>IFERROR(INDEX('Master Pelanggaran'!$E$2:$E$73,MATCH(G8,'Master Pelanggaran'!$B$2:$B$73,0)),"")</f>
        <v/>
      </c>
      <c r="K8" s="12" t="str">
        <f>IF(C8="","",SUMIFS($J$5:J8,$C$5:C8,C8))</f>
        <v/>
      </c>
      <c r="L8" s="13" t="str">
        <f t="shared" si="1"/>
        <v/>
      </c>
      <c r="M8" s="12"/>
      <c r="N8" s="13"/>
    </row>
    <row r="9" spans="1:14" x14ac:dyDescent="0.25">
      <c r="A9" s="12" t="str">
        <f t="shared" si="0"/>
        <v/>
      </c>
      <c r="B9" s="12"/>
      <c r="C9" s="12"/>
      <c r="D9" s="12"/>
      <c r="E9" s="12"/>
      <c r="F9" s="12"/>
      <c r="G9" s="12"/>
      <c r="H9" s="13" t="str">
        <f>IFERROR(INDEX('Master Pelanggaran'!$D$2:$D$73,MATCH(G9,'Master Pelanggaran'!$B$2:$B$73,0)),"")</f>
        <v/>
      </c>
      <c r="I9" s="12" t="str">
        <f>IFERROR(INDEX('Master Pelanggaran'!$C$2:$C$73,MATCH(G9,'Master Pelanggaran'!$B$2:$B$73,0)),"")</f>
        <v/>
      </c>
      <c r="J9" s="12" t="str">
        <f>IFERROR(INDEX('Master Pelanggaran'!$E$2:$E$73,MATCH(G9,'Master Pelanggaran'!$B$2:$B$73,0)),"")</f>
        <v/>
      </c>
      <c r="K9" s="12" t="str">
        <f>IF(C9="","",SUMIFS($J$5:J9,$C$5:C9,C9))</f>
        <v/>
      </c>
      <c r="L9" s="13" t="str">
        <f t="shared" si="1"/>
        <v/>
      </c>
      <c r="M9" s="12"/>
      <c r="N9" s="13"/>
    </row>
    <row r="10" spans="1:14" x14ac:dyDescent="0.25">
      <c r="A10" s="12" t="str">
        <f t="shared" si="0"/>
        <v/>
      </c>
      <c r="B10" s="12"/>
      <c r="C10" s="12"/>
      <c r="D10" s="12"/>
      <c r="E10" s="12"/>
      <c r="F10" s="12"/>
      <c r="G10" s="12"/>
      <c r="H10" s="13" t="str">
        <f>IFERROR(INDEX('Master Pelanggaran'!$D$2:$D$73,MATCH(G10,'Master Pelanggaran'!$B$2:$B$73,0)),"")</f>
        <v/>
      </c>
      <c r="I10" s="12" t="str">
        <f>IFERROR(INDEX('Master Pelanggaran'!$C$2:$C$73,MATCH(G10,'Master Pelanggaran'!$B$2:$B$73,0)),"")</f>
        <v/>
      </c>
      <c r="J10" s="12" t="str">
        <f>IFERROR(INDEX('Master Pelanggaran'!$E$2:$E$73,MATCH(G10,'Master Pelanggaran'!$B$2:$B$73,0)),"")</f>
        <v/>
      </c>
      <c r="K10" s="12" t="str">
        <f>IF(C10="","",SUMIFS($J$5:J10,$C$5:C10,C10))</f>
        <v/>
      </c>
      <c r="L10" s="13" t="str">
        <f t="shared" si="1"/>
        <v/>
      </c>
      <c r="M10" s="12"/>
      <c r="N10" s="13"/>
    </row>
    <row r="11" spans="1:14" x14ac:dyDescent="0.25">
      <c r="A11" s="12" t="str">
        <f t="shared" si="0"/>
        <v/>
      </c>
      <c r="B11" s="12"/>
      <c r="C11" s="12"/>
      <c r="D11" s="12"/>
      <c r="E11" s="12"/>
      <c r="F11" s="12"/>
      <c r="G11" s="12"/>
      <c r="H11" s="13" t="str">
        <f>IFERROR(INDEX('Master Pelanggaran'!$D$2:$D$73,MATCH(G11,'Master Pelanggaran'!$B$2:$B$73,0)),"")</f>
        <v/>
      </c>
      <c r="I11" s="12" t="str">
        <f>IFERROR(INDEX('Master Pelanggaran'!$C$2:$C$73,MATCH(G11,'Master Pelanggaran'!$B$2:$B$73,0)),"")</f>
        <v/>
      </c>
      <c r="J11" s="12" t="str">
        <f>IFERROR(INDEX('Master Pelanggaran'!$E$2:$E$73,MATCH(G11,'Master Pelanggaran'!$B$2:$B$73,0)),"")</f>
        <v/>
      </c>
      <c r="K11" s="12" t="str">
        <f>IF(C11="","",SUMIFS($J$5:J11,$C$5:C11,C11))</f>
        <v/>
      </c>
      <c r="L11" s="13" t="str">
        <f t="shared" si="1"/>
        <v/>
      </c>
      <c r="M11" s="12"/>
      <c r="N11" s="13"/>
    </row>
    <row r="12" spans="1:14" x14ac:dyDescent="0.25">
      <c r="A12" s="12" t="str">
        <f t="shared" si="0"/>
        <v/>
      </c>
      <c r="B12" s="12"/>
      <c r="C12" s="12"/>
      <c r="D12" s="12"/>
      <c r="E12" s="12"/>
      <c r="F12" s="12"/>
      <c r="G12" s="12"/>
      <c r="H12" s="13" t="str">
        <f>IFERROR(INDEX('Master Pelanggaran'!$D$2:$D$73,MATCH(G12,'Master Pelanggaran'!$B$2:$B$73,0)),"")</f>
        <v/>
      </c>
      <c r="I12" s="12" t="str">
        <f>IFERROR(INDEX('Master Pelanggaran'!$C$2:$C$73,MATCH(G12,'Master Pelanggaran'!$B$2:$B$73,0)),"")</f>
        <v/>
      </c>
      <c r="J12" s="12" t="str">
        <f>IFERROR(INDEX('Master Pelanggaran'!$E$2:$E$73,MATCH(G12,'Master Pelanggaran'!$B$2:$B$73,0)),"")</f>
        <v/>
      </c>
      <c r="K12" s="12" t="str">
        <f>IF(C12="","",SUMIFS($J$5:J12,$C$5:C12,C12))</f>
        <v/>
      </c>
      <c r="L12" s="13" t="str">
        <f t="shared" si="1"/>
        <v/>
      </c>
      <c r="M12" s="12"/>
      <c r="N12" s="13"/>
    </row>
    <row r="13" spans="1:14" x14ac:dyDescent="0.25">
      <c r="A13" s="12" t="str">
        <f t="shared" si="0"/>
        <v/>
      </c>
      <c r="B13" s="12"/>
      <c r="C13" s="12"/>
      <c r="D13" s="12"/>
      <c r="E13" s="12"/>
      <c r="F13" s="12"/>
      <c r="G13" s="12"/>
      <c r="H13" s="13" t="str">
        <f>IFERROR(INDEX('Master Pelanggaran'!$D$2:$D$73,MATCH(G13,'Master Pelanggaran'!$B$2:$B$73,0)),"")</f>
        <v/>
      </c>
      <c r="I13" s="12" t="str">
        <f>IFERROR(INDEX('Master Pelanggaran'!$C$2:$C$73,MATCH(G13,'Master Pelanggaran'!$B$2:$B$73,0)),"")</f>
        <v/>
      </c>
      <c r="J13" s="12" t="str">
        <f>IFERROR(INDEX('Master Pelanggaran'!$E$2:$E$73,MATCH(G13,'Master Pelanggaran'!$B$2:$B$73,0)),"")</f>
        <v/>
      </c>
      <c r="K13" s="12" t="str">
        <f>IF(C13="","",SUMIFS($J$5:J13,$C$5:C13,C13))</f>
        <v/>
      </c>
      <c r="L13" s="13" t="str">
        <f t="shared" si="1"/>
        <v/>
      </c>
      <c r="M13" s="12"/>
      <c r="N13" s="13"/>
    </row>
    <row r="14" spans="1:14" x14ac:dyDescent="0.25">
      <c r="A14" s="12" t="str">
        <f t="shared" si="0"/>
        <v/>
      </c>
      <c r="B14" s="12"/>
      <c r="C14" s="12"/>
      <c r="D14" s="12"/>
      <c r="E14" s="12"/>
      <c r="F14" s="12"/>
      <c r="G14" s="12"/>
      <c r="H14" s="13" t="str">
        <f>IFERROR(INDEX('Master Pelanggaran'!$D$2:$D$73,MATCH(G14,'Master Pelanggaran'!$B$2:$B$73,0)),"")</f>
        <v/>
      </c>
      <c r="I14" s="12" t="str">
        <f>IFERROR(INDEX('Master Pelanggaran'!$C$2:$C$73,MATCH(G14,'Master Pelanggaran'!$B$2:$B$73,0)),"")</f>
        <v/>
      </c>
      <c r="J14" s="12" t="str">
        <f>IFERROR(INDEX('Master Pelanggaran'!$E$2:$E$73,MATCH(G14,'Master Pelanggaran'!$B$2:$B$73,0)),"")</f>
        <v/>
      </c>
      <c r="K14" s="12" t="str">
        <f>IF(C14="","",SUMIFS($J$5:J14,$C$5:C14,C14))</f>
        <v/>
      </c>
      <c r="L14" s="13" t="str">
        <f t="shared" si="1"/>
        <v/>
      </c>
      <c r="M14" s="12"/>
      <c r="N14" s="13"/>
    </row>
    <row r="15" spans="1:14" x14ac:dyDescent="0.25">
      <c r="A15" s="12" t="str">
        <f t="shared" si="0"/>
        <v/>
      </c>
      <c r="B15" s="12"/>
      <c r="C15" s="12"/>
      <c r="D15" s="12"/>
      <c r="E15" s="12"/>
      <c r="F15" s="12"/>
      <c r="G15" s="12"/>
      <c r="H15" s="13" t="str">
        <f>IFERROR(INDEX('Master Pelanggaran'!$D$2:$D$73,MATCH(G15,'Master Pelanggaran'!$B$2:$B$73,0)),"")</f>
        <v/>
      </c>
      <c r="I15" s="12" t="str">
        <f>IFERROR(INDEX('Master Pelanggaran'!$C$2:$C$73,MATCH(G15,'Master Pelanggaran'!$B$2:$B$73,0)),"")</f>
        <v/>
      </c>
      <c r="J15" s="12" t="str">
        <f>IFERROR(INDEX('Master Pelanggaran'!$E$2:$E$73,MATCH(G15,'Master Pelanggaran'!$B$2:$B$73,0)),"")</f>
        <v/>
      </c>
      <c r="K15" s="12" t="str">
        <f>IF(C15="","",SUMIFS($J$5:J15,$C$5:C15,C15))</f>
        <v/>
      </c>
      <c r="L15" s="13" t="str">
        <f t="shared" si="1"/>
        <v/>
      </c>
      <c r="M15" s="12"/>
      <c r="N15" s="13"/>
    </row>
    <row r="16" spans="1:14" x14ac:dyDescent="0.25">
      <c r="A16" s="12" t="str">
        <f t="shared" si="0"/>
        <v/>
      </c>
      <c r="B16" s="12"/>
      <c r="C16" s="12"/>
      <c r="D16" s="12"/>
      <c r="E16" s="12"/>
      <c r="F16" s="12"/>
      <c r="G16" s="12"/>
      <c r="H16" s="13" t="str">
        <f>IFERROR(INDEX('Master Pelanggaran'!$D$2:$D$73,MATCH(G16,'Master Pelanggaran'!$B$2:$B$73,0)),"")</f>
        <v/>
      </c>
      <c r="I16" s="12" t="str">
        <f>IFERROR(INDEX('Master Pelanggaran'!$C$2:$C$73,MATCH(G16,'Master Pelanggaran'!$B$2:$B$73,0)),"")</f>
        <v/>
      </c>
      <c r="J16" s="12" t="str">
        <f>IFERROR(INDEX('Master Pelanggaran'!$E$2:$E$73,MATCH(G16,'Master Pelanggaran'!$B$2:$B$73,0)),"")</f>
        <v/>
      </c>
      <c r="K16" s="12" t="str">
        <f>IF(C16="","",SUMIFS($J$5:J16,$C$5:C16,C16))</f>
        <v/>
      </c>
      <c r="L16" s="13" t="str">
        <f t="shared" si="1"/>
        <v/>
      </c>
      <c r="M16" s="12"/>
      <c r="N16" s="13"/>
    </row>
    <row r="17" spans="1:14" x14ac:dyDescent="0.25">
      <c r="A17" s="12" t="str">
        <f t="shared" si="0"/>
        <v/>
      </c>
      <c r="B17" s="12"/>
      <c r="C17" s="12"/>
      <c r="D17" s="12"/>
      <c r="E17" s="12"/>
      <c r="F17" s="12"/>
      <c r="G17" s="12"/>
      <c r="H17" s="13" t="str">
        <f>IFERROR(INDEX('Master Pelanggaran'!$D$2:$D$73,MATCH(G17,'Master Pelanggaran'!$B$2:$B$73,0)),"")</f>
        <v/>
      </c>
      <c r="I17" s="12" t="str">
        <f>IFERROR(INDEX('Master Pelanggaran'!$C$2:$C$73,MATCH(G17,'Master Pelanggaran'!$B$2:$B$73,0)),"")</f>
        <v/>
      </c>
      <c r="J17" s="12" t="str">
        <f>IFERROR(INDEX('Master Pelanggaran'!$E$2:$E$73,MATCH(G17,'Master Pelanggaran'!$B$2:$B$73,0)),"")</f>
        <v/>
      </c>
      <c r="K17" s="12" t="str">
        <f>IF(C17="","",SUMIFS($J$5:J17,$C$5:C17,C17))</f>
        <v/>
      </c>
      <c r="L17" s="13" t="str">
        <f t="shared" si="1"/>
        <v/>
      </c>
      <c r="M17" s="12"/>
      <c r="N17" s="13"/>
    </row>
    <row r="18" spans="1:14" x14ac:dyDescent="0.25">
      <c r="A18" s="12" t="str">
        <f t="shared" si="0"/>
        <v/>
      </c>
      <c r="B18" s="12"/>
      <c r="C18" s="12"/>
      <c r="D18" s="12"/>
      <c r="E18" s="12"/>
      <c r="F18" s="12"/>
      <c r="G18" s="12"/>
      <c r="H18" s="13" t="str">
        <f>IFERROR(INDEX('Master Pelanggaran'!$D$2:$D$73,MATCH(G18,'Master Pelanggaran'!$B$2:$B$73,0)),"")</f>
        <v/>
      </c>
      <c r="I18" s="12" t="str">
        <f>IFERROR(INDEX('Master Pelanggaran'!$C$2:$C$73,MATCH(G18,'Master Pelanggaran'!$B$2:$B$73,0)),"")</f>
        <v/>
      </c>
      <c r="J18" s="12" t="str">
        <f>IFERROR(INDEX('Master Pelanggaran'!$E$2:$E$73,MATCH(G18,'Master Pelanggaran'!$B$2:$B$73,0)),"")</f>
        <v/>
      </c>
      <c r="K18" s="12" t="str">
        <f>IF(C18="","",SUMIFS($J$5:J18,$C$5:C18,C18))</f>
        <v/>
      </c>
      <c r="L18" s="13" t="str">
        <f t="shared" si="1"/>
        <v/>
      </c>
      <c r="M18" s="12"/>
      <c r="N18" s="13"/>
    </row>
    <row r="19" spans="1:14" x14ac:dyDescent="0.25">
      <c r="A19" s="12" t="str">
        <f t="shared" si="0"/>
        <v/>
      </c>
      <c r="B19" s="12"/>
      <c r="C19" s="12"/>
      <c r="D19" s="12"/>
      <c r="E19" s="12"/>
      <c r="F19" s="12"/>
      <c r="G19" s="12"/>
      <c r="H19" s="13" t="str">
        <f>IFERROR(INDEX('Master Pelanggaran'!$D$2:$D$73,MATCH(G19,'Master Pelanggaran'!$B$2:$B$73,0)),"")</f>
        <v/>
      </c>
      <c r="I19" s="12" t="str">
        <f>IFERROR(INDEX('Master Pelanggaran'!$C$2:$C$73,MATCH(G19,'Master Pelanggaran'!$B$2:$B$73,0)),"")</f>
        <v/>
      </c>
      <c r="J19" s="12" t="str">
        <f>IFERROR(INDEX('Master Pelanggaran'!$E$2:$E$73,MATCH(G19,'Master Pelanggaran'!$B$2:$B$73,0)),"")</f>
        <v/>
      </c>
      <c r="K19" s="12" t="str">
        <f>IF(C19="","",SUMIFS($J$5:J19,$C$5:C19,C19))</f>
        <v/>
      </c>
      <c r="L19" s="13" t="str">
        <f t="shared" si="1"/>
        <v/>
      </c>
      <c r="M19" s="12"/>
      <c r="N19" s="13"/>
    </row>
    <row r="20" spans="1:14" x14ac:dyDescent="0.25">
      <c r="A20" s="12" t="str">
        <f t="shared" si="0"/>
        <v/>
      </c>
      <c r="B20" s="12"/>
      <c r="C20" s="12"/>
      <c r="D20" s="12"/>
      <c r="E20" s="12"/>
      <c r="F20" s="12"/>
      <c r="G20" s="12"/>
      <c r="H20" s="13" t="str">
        <f>IFERROR(INDEX('Master Pelanggaran'!$D$2:$D$73,MATCH(G20,'Master Pelanggaran'!$B$2:$B$73,0)),"")</f>
        <v/>
      </c>
      <c r="I20" s="12" t="str">
        <f>IFERROR(INDEX('Master Pelanggaran'!$C$2:$C$73,MATCH(G20,'Master Pelanggaran'!$B$2:$B$73,0)),"")</f>
        <v/>
      </c>
      <c r="J20" s="12" t="str">
        <f>IFERROR(INDEX('Master Pelanggaran'!$E$2:$E$73,MATCH(G20,'Master Pelanggaran'!$B$2:$B$73,0)),"")</f>
        <v/>
      </c>
      <c r="K20" s="12" t="str">
        <f>IF(C20="","",SUMIFS($J$5:J20,$C$5:C20,C20))</f>
        <v/>
      </c>
      <c r="L20" s="13" t="str">
        <f t="shared" si="1"/>
        <v/>
      </c>
      <c r="M20" s="12"/>
      <c r="N20" s="13"/>
    </row>
    <row r="21" spans="1:14" x14ac:dyDescent="0.25">
      <c r="A21" s="12" t="str">
        <f t="shared" si="0"/>
        <v/>
      </c>
      <c r="B21" s="12"/>
      <c r="C21" s="12"/>
      <c r="D21" s="12"/>
      <c r="E21" s="12"/>
      <c r="F21" s="12"/>
      <c r="G21" s="12"/>
      <c r="H21" s="13" t="str">
        <f>IFERROR(INDEX('Master Pelanggaran'!$D$2:$D$73,MATCH(G21,'Master Pelanggaran'!$B$2:$B$73,0)),"")</f>
        <v/>
      </c>
      <c r="I21" s="12" t="str">
        <f>IFERROR(INDEX('Master Pelanggaran'!$C$2:$C$73,MATCH(G21,'Master Pelanggaran'!$B$2:$B$73,0)),"")</f>
        <v/>
      </c>
      <c r="J21" s="12" t="str">
        <f>IFERROR(INDEX('Master Pelanggaran'!$E$2:$E$73,MATCH(G21,'Master Pelanggaran'!$B$2:$B$73,0)),"")</f>
        <v/>
      </c>
      <c r="K21" s="12" t="str">
        <f>IF(C21="","",SUMIFS($J$5:J21,$C$5:C21,C21))</f>
        <v/>
      </c>
      <c r="L21" s="13" t="str">
        <f t="shared" si="1"/>
        <v/>
      </c>
      <c r="M21" s="12"/>
      <c r="N21" s="13"/>
    </row>
    <row r="22" spans="1:14" x14ac:dyDescent="0.25">
      <c r="A22" s="12" t="str">
        <f t="shared" si="0"/>
        <v/>
      </c>
      <c r="B22" s="12"/>
      <c r="C22" s="12"/>
      <c r="D22" s="12"/>
      <c r="E22" s="12"/>
      <c r="F22" s="12"/>
      <c r="G22" s="12"/>
      <c r="H22" s="13" t="str">
        <f>IFERROR(INDEX('Master Pelanggaran'!$D$2:$D$73,MATCH(G22,'Master Pelanggaran'!$B$2:$B$73,0)),"")</f>
        <v/>
      </c>
      <c r="I22" s="12" t="str">
        <f>IFERROR(INDEX('Master Pelanggaran'!$C$2:$C$73,MATCH(G22,'Master Pelanggaran'!$B$2:$B$73,0)),"")</f>
        <v/>
      </c>
      <c r="J22" s="12" t="str">
        <f>IFERROR(INDEX('Master Pelanggaran'!$E$2:$E$73,MATCH(G22,'Master Pelanggaran'!$B$2:$B$73,0)),"")</f>
        <v/>
      </c>
      <c r="K22" s="12" t="str">
        <f>IF(C22="","",SUMIFS($J$5:J22,$C$5:C22,C22))</f>
        <v/>
      </c>
      <c r="L22" s="13" t="str">
        <f t="shared" si="1"/>
        <v/>
      </c>
      <c r="M22" s="12"/>
      <c r="N22" s="13"/>
    </row>
    <row r="23" spans="1:14" x14ac:dyDescent="0.25">
      <c r="A23" s="12" t="str">
        <f t="shared" si="0"/>
        <v/>
      </c>
      <c r="B23" s="12"/>
      <c r="C23" s="12"/>
      <c r="D23" s="12"/>
      <c r="E23" s="12"/>
      <c r="F23" s="12"/>
      <c r="G23" s="12"/>
      <c r="H23" s="13" t="str">
        <f>IFERROR(INDEX('Master Pelanggaran'!$D$2:$D$73,MATCH(G23,'Master Pelanggaran'!$B$2:$B$73,0)),"")</f>
        <v/>
      </c>
      <c r="I23" s="12" t="str">
        <f>IFERROR(INDEX('Master Pelanggaran'!$C$2:$C$73,MATCH(G23,'Master Pelanggaran'!$B$2:$B$73,0)),"")</f>
        <v/>
      </c>
      <c r="J23" s="12" t="str">
        <f>IFERROR(INDEX('Master Pelanggaran'!$E$2:$E$73,MATCH(G23,'Master Pelanggaran'!$B$2:$B$73,0)),"")</f>
        <v/>
      </c>
      <c r="K23" s="12" t="str">
        <f>IF(C23="","",SUMIFS($J$5:J23,$C$5:C23,C23))</f>
        <v/>
      </c>
      <c r="L23" s="13" t="str">
        <f t="shared" si="1"/>
        <v/>
      </c>
      <c r="M23" s="12"/>
      <c r="N23" s="13"/>
    </row>
    <row r="24" spans="1:14" x14ac:dyDescent="0.25">
      <c r="A24" s="12" t="str">
        <f t="shared" si="0"/>
        <v/>
      </c>
      <c r="B24" s="12"/>
      <c r="C24" s="12"/>
      <c r="D24" s="12"/>
      <c r="E24" s="12"/>
      <c r="F24" s="12"/>
      <c r="G24" s="12"/>
      <c r="H24" s="13" t="str">
        <f>IFERROR(INDEX('Master Pelanggaran'!$D$2:$D$73,MATCH(G24,'Master Pelanggaran'!$B$2:$B$73,0)),"")</f>
        <v/>
      </c>
      <c r="I24" s="12" t="str">
        <f>IFERROR(INDEX('Master Pelanggaran'!$C$2:$C$73,MATCH(G24,'Master Pelanggaran'!$B$2:$B$73,0)),"")</f>
        <v/>
      </c>
      <c r="J24" s="12" t="str">
        <f>IFERROR(INDEX('Master Pelanggaran'!$E$2:$E$73,MATCH(G24,'Master Pelanggaran'!$B$2:$B$73,0)),"")</f>
        <v/>
      </c>
      <c r="K24" s="12" t="str">
        <f>IF(C24="","",SUMIFS($J$5:J24,$C$5:C24,C24))</f>
        <v/>
      </c>
      <c r="L24" s="13" t="str">
        <f t="shared" si="1"/>
        <v/>
      </c>
      <c r="M24" s="12"/>
      <c r="N24" s="13"/>
    </row>
    <row r="25" spans="1:14" x14ac:dyDescent="0.25">
      <c r="A25" s="12" t="str">
        <f t="shared" si="0"/>
        <v/>
      </c>
      <c r="B25" s="12"/>
      <c r="C25" s="12"/>
      <c r="D25" s="12"/>
      <c r="E25" s="12"/>
      <c r="F25" s="12"/>
      <c r="G25" s="12"/>
      <c r="H25" s="13" t="str">
        <f>IFERROR(INDEX('Master Pelanggaran'!$D$2:$D$73,MATCH(G25,'Master Pelanggaran'!$B$2:$B$73,0)),"")</f>
        <v/>
      </c>
      <c r="I25" s="12" t="str">
        <f>IFERROR(INDEX('Master Pelanggaran'!$C$2:$C$73,MATCH(G25,'Master Pelanggaran'!$B$2:$B$73,0)),"")</f>
        <v/>
      </c>
      <c r="J25" s="12" t="str">
        <f>IFERROR(INDEX('Master Pelanggaran'!$E$2:$E$73,MATCH(G25,'Master Pelanggaran'!$B$2:$B$73,0)),"")</f>
        <v/>
      </c>
      <c r="K25" s="12" t="str">
        <f>IF(C25="","",SUMIFS($J$5:J25,$C$5:C25,C25))</f>
        <v/>
      </c>
      <c r="L25" s="13" t="str">
        <f t="shared" si="1"/>
        <v/>
      </c>
      <c r="M25" s="12"/>
      <c r="N25" s="13"/>
    </row>
    <row r="26" spans="1:14" x14ac:dyDescent="0.25">
      <c r="A26" s="12" t="str">
        <f t="shared" si="0"/>
        <v/>
      </c>
      <c r="B26" s="12"/>
      <c r="C26" s="12"/>
      <c r="D26" s="12"/>
      <c r="E26" s="12"/>
      <c r="F26" s="12"/>
      <c r="G26" s="12"/>
      <c r="H26" s="13" t="str">
        <f>IFERROR(INDEX('Master Pelanggaran'!$D$2:$D$73,MATCH(G26,'Master Pelanggaran'!$B$2:$B$73,0)),"")</f>
        <v/>
      </c>
      <c r="I26" s="12" t="str">
        <f>IFERROR(INDEX('Master Pelanggaran'!$C$2:$C$73,MATCH(G26,'Master Pelanggaran'!$B$2:$B$73,0)),"")</f>
        <v/>
      </c>
      <c r="J26" s="12" t="str">
        <f>IFERROR(INDEX('Master Pelanggaran'!$E$2:$E$73,MATCH(G26,'Master Pelanggaran'!$B$2:$B$73,0)),"")</f>
        <v/>
      </c>
      <c r="K26" s="12" t="str">
        <f>IF(C26="","",SUMIFS($J$5:J26,$C$5:C26,C26))</f>
        <v/>
      </c>
      <c r="L26" s="13" t="str">
        <f t="shared" si="1"/>
        <v/>
      </c>
      <c r="M26" s="12"/>
      <c r="N26" s="13"/>
    </row>
    <row r="27" spans="1:14" x14ac:dyDescent="0.25">
      <c r="A27" s="12" t="str">
        <f t="shared" si="0"/>
        <v/>
      </c>
      <c r="B27" s="12"/>
      <c r="C27" s="12"/>
      <c r="D27" s="12"/>
      <c r="E27" s="12"/>
      <c r="F27" s="12"/>
      <c r="G27" s="12"/>
      <c r="H27" s="13" t="str">
        <f>IFERROR(INDEX('Master Pelanggaran'!$D$2:$D$73,MATCH(G27,'Master Pelanggaran'!$B$2:$B$73,0)),"")</f>
        <v/>
      </c>
      <c r="I27" s="12" t="str">
        <f>IFERROR(INDEX('Master Pelanggaran'!$C$2:$C$73,MATCH(G27,'Master Pelanggaran'!$B$2:$B$73,0)),"")</f>
        <v/>
      </c>
      <c r="J27" s="12" t="str">
        <f>IFERROR(INDEX('Master Pelanggaran'!$E$2:$E$73,MATCH(G27,'Master Pelanggaran'!$B$2:$B$73,0)),"")</f>
        <v/>
      </c>
      <c r="K27" s="12" t="str">
        <f>IF(C27="","",SUMIFS($J$5:J27,$C$5:C27,C27))</f>
        <v/>
      </c>
      <c r="L27" s="13" t="str">
        <f t="shared" si="1"/>
        <v/>
      </c>
      <c r="M27" s="12"/>
      <c r="N27" s="13"/>
    </row>
    <row r="28" spans="1:14" x14ac:dyDescent="0.25">
      <c r="A28" s="12" t="str">
        <f t="shared" si="0"/>
        <v/>
      </c>
      <c r="B28" s="12"/>
      <c r="C28" s="12"/>
      <c r="D28" s="12"/>
      <c r="E28" s="12"/>
      <c r="F28" s="12"/>
      <c r="G28" s="12"/>
      <c r="H28" s="13" t="str">
        <f>IFERROR(INDEX('Master Pelanggaran'!$D$2:$D$73,MATCH(G28,'Master Pelanggaran'!$B$2:$B$73,0)),"")</f>
        <v/>
      </c>
      <c r="I28" s="12" t="str">
        <f>IFERROR(INDEX('Master Pelanggaran'!$C$2:$C$73,MATCH(G28,'Master Pelanggaran'!$B$2:$B$73,0)),"")</f>
        <v/>
      </c>
      <c r="J28" s="12" t="str">
        <f>IFERROR(INDEX('Master Pelanggaran'!$E$2:$E$73,MATCH(G28,'Master Pelanggaran'!$B$2:$B$73,0)),"")</f>
        <v/>
      </c>
      <c r="K28" s="12" t="str">
        <f>IF(C28="","",SUMIFS($J$5:J28,$C$5:C28,C28))</f>
        <v/>
      </c>
      <c r="L28" s="13" t="str">
        <f t="shared" si="1"/>
        <v/>
      </c>
      <c r="M28" s="12"/>
      <c r="N28" s="13"/>
    </row>
    <row r="29" spans="1:14" x14ac:dyDescent="0.25">
      <c r="A29" s="12" t="str">
        <f t="shared" si="0"/>
        <v/>
      </c>
      <c r="B29" s="12"/>
      <c r="C29" s="12"/>
      <c r="D29" s="12"/>
      <c r="E29" s="12"/>
      <c r="F29" s="12"/>
      <c r="G29" s="12"/>
      <c r="H29" s="13" t="str">
        <f>IFERROR(INDEX('Master Pelanggaran'!$D$2:$D$73,MATCH(G29,'Master Pelanggaran'!$B$2:$B$73,0)),"")</f>
        <v/>
      </c>
      <c r="I29" s="12" t="str">
        <f>IFERROR(INDEX('Master Pelanggaran'!$C$2:$C$73,MATCH(G29,'Master Pelanggaran'!$B$2:$B$73,0)),"")</f>
        <v/>
      </c>
      <c r="J29" s="12" t="str">
        <f>IFERROR(INDEX('Master Pelanggaran'!$E$2:$E$73,MATCH(G29,'Master Pelanggaran'!$B$2:$B$73,0)),"")</f>
        <v/>
      </c>
      <c r="K29" s="12" t="str">
        <f>IF(C29="","",SUMIFS($J$5:J29,$C$5:C29,C29))</f>
        <v/>
      </c>
      <c r="L29" s="13" t="str">
        <f t="shared" si="1"/>
        <v/>
      </c>
      <c r="M29" s="12"/>
      <c r="N29" s="13"/>
    </row>
    <row r="30" spans="1:14" x14ac:dyDescent="0.25">
      <c r="A30" s="12" t="str">
        <f t="shared" si="0"/>
        <v/>
      </c>
      <c r="B30" s="12"/>
      <c r="C30" s="12"/>
      <c r="D30" s="12"/>
      <c r="E30" s="12"/>
      <c r="F30" s="12"/>
      <c r="G30" s="12"/>
      <c r="H30" s="13" t="str">
        <f>IFERROR(INDEX('Master Pelanggaran'!$D$2:$D$73,MATCH(G30,'Master Pelanggaran'!$B$2:$B$73,0)),"")</f>
        <v/>
      </c>
      <c r="I30" s="12" t="str">
        <f>IFERROR(INDEX('Master Pelanggaran'!$C$2:$C$73,MATCH(G30,'Master Pelanggaran'!$B$2:$B$73,0)),"")</f>
        <v/>
      </c>
      <c r="J30" s="12" t="str">
        <f>IFERROR(INDEX('Master Pelanggaran'!$E$2:$E$73,MATCH(G30,'Master Pelanggaran'!$B$2:$B$73,0)),"")</f>
        <v/>
      </c>
      <c r="K30" s="12" t="str">
        <f>IF(C30="","",SUMIFS($J$5:J30,$C$5:C30,C30))</f>
        <v/>
      </c>
      <c r="L30" s="13" t="str">
        <f t="shared" si="1"/>
        <v/>
      </c>
      <c r="M30" s="12"/>
      <c r="N30" s="13"/>
    </row>
    <row r="31" spans="1:14" x14ac:dyDescent="0.25">
      <c r="A31" s="12" t="str">
        <f t="shared" si="0"/>
        <v/>
      </c>
      <c r="B31" s="12"/>
      <c r="C31" s="12"/>
      <c r="D31" s="12"/>
      <c r="E31" s="12"/>
      <c r="F31" s="12"/>
      <c r="G31" s="12"/>
      <c r="H31" s="13" t="str">
        <f>IFERROR(INDEX('Master Pelanggaran'!$D$2:$D$73,MATCH(G31,'Master Pelanggaran'!$B$2:$B$73,0)),"")</f>
        <v/>
      </c>
      <c r="I31" s="12" t="str">
        <f>IFERROR(INDEX('Master Pelanggaran'!$C$2:$C$73,MATCH(G31,'Master Pelanggaran'!$B$2:$B$73,0)),"")</f>
        <v/>
      </c>
      <c r="J31" s="12" t="str">
        <f>IFERROR(INDEX('Master Pelanggaran'!$E$2:$E$73,MATCH(G31,'Master Pelanggaran'!$B$2:$B$73,0)),"")</f>
        <v/>
      </c>
      <c r="K31" s="12" t="str">
        <f>IF(C31="","",SUMIFS($J$5:J31,$C$5:C31,C31))</f>
        <v/>
      </c>
      <c r="L31" s="13" t="str">
        <f t="shared" si="1"/>
        <v/>
      </c>
      <c r="M31" s="12"/>
      <c r="N31" s="13"/>
    </row>
    <row r="32" spans="1:14" x14ac:dyDescent="0.25">
      <c r="A32" s="12" t="str">
        <f t="shared" si="0"/>
        <v/>
      </c>
      <c r="B32" s="12"/>
      <c r="C32" s="12"/>
      <c r="D32" s="12"/>
      <c r="E32" s="12"/>
      <c r="F32" s="12"/>
      <c r="G32" s="12"/>
      <c r="H32" s="13" t="str">
        <f>IFERROR(INDEX('Master Pelanggaran'!$D$2:$D$73,MATCH(G32,'Master Pelanggaran'!$B$2:$B$73,0)),"")</f>
        <v/>
      </c>
      <c r="I32" s="12" t="str">
        <f>IFERROR(INDEX('Master Pelanggaran'!$C$2:$C$73,MATCH(G32,'Master Pelanggaran'!$B$2:$B$73,0)),"")</f>
        <v/>
      </c>
      <c r="J32" s="12" t="str">
        <f>IFERROR(INDEX('Master Pelanggaran'!$E$2:$E$73,MATCH(G32,'Master Pelanggaran'!$B$2:$B$73,0)),"")</f>
        <v/>
      </c>
      <c r="K32" s="12" t="str">
        <f>IF(C32="","",SUMIFS($J$5:J32,$C$5:C32,C32))</f>
        <v/>
      </c>
      <c r="L32" s="13" t="str">
        <f t="shared" si="1"/>
        <v/>
      </c>
      <c r="M32" s="12"/>
      <c r="N32" s="13"/>
    </row>
    <row r="33" spans="1:14" x14ac:dyDescent="0.25">
      <c r="A33" s="12" t="str">
        <f t="shared" si="0"/>
        <v/>
      </c>
      <c r="B33" s="12"/>
      <c r="C33" s="12"/>
      <c r="D33" s="12"/>
      <c r="E33" s="12"/>
      <c r="F33" s="12"/>
      <c r="G33" s="12"/>
      <c r="H33" s="13" t="str">
        <f>IFERROR(INDEX('Master Pelanggaran'!$D$2:$D$73,MATCH(G33,'Master Pelanggaran'!$B$2:$B$73,0)),"")</f>
        <v/>
      </c>
      <c r="I33" s="12" t="str">
        <f>IFERROR(INDEX('Master Pelanggaran'!$C$2:$C$73,MATCH(G33,'Master Pelanggaran'!$B$2:$B$73,0)),"")</f>
        <v/>
      </c>
      <c r="J33" s="12" t="str">
        <f>IFERROR(INDEX('Master Pelanggaran'!$E$2:$E$73,MATCH(G33,'Master Pelanggaran'!$B$2:$B$73,0)),"")</f>
        <v/>
      </c>
      <c r="K33" s="12" t="str">
        <f>IF(C33="","",SUMIFS($J$5:J33,$C$5:C33,C33))</f>
        <v/>
      </c>
      <c r="L33" s="13" t="str">
        <f t="shared" si="1"/>
        <v/>
      </c>
      <c r="M33" s="12"/>
      <c r="N33" s="13"/>
    </row>
    <row r="34" spans="1:14" x14ac:dyDescent="0.25">
      <c r="A34" s="12" t="str">
        <f t="shared" si="0"/>
        <v/>
      </c>
      <c r="B34" s="12"/>
      <c r="C34" s="12"/>
      <c r="D34" s="12"/>
      <c r="E34" s="12"/>
      <c r="F34" s="12"/>
      <c r="G34" s="12"/>
      <c r="H34" s="13" t="str">
        <f>IFERROR(INDEX('Master Pelanggaran'!$D$2:$D$73,MATCH(G34,'Master Pelanggaran'!$B$2:$B$73,0)),"")</f>
        <v/>
      </c>
      <c r="I34" s="12" t="str">
        <f>IFERROR(INDEX('Master Pelanggaran'!$C$2:$C$73,MATCH(G34,'Master Pelanggaran'!$B$2:$B$73,0)),"")</f>
        <v/>
      </c>
      <c r="J34" s="12" t="str">
        <f>IFERROR(INDEX('Master Pelanggaran'!$E$2:$E$73,MATCH(G34,'Master Pelanggaran'!$B$2:$B$73,0)),"")</f>
        <v/>
      </c>
      <c r="K34" s="12" t="str">
        <f>IF(C34="","",SUMIFS($J$5:J34,$C$5:C34,C34))</f>
        <v/>
      </c>
      <c r="L34" s="13" t="str">
        <f t="shared" si="1"/>
        <v/>
      </c>
      <c r="M34" s="12"/>
      <c r="N34" s="13"/>
    </row>
    <row r="35" spans="1:14" x14ac:dyDescent="0.25">
      <c r="A35" s="12" t="str">
        <f t="shared" si="0"/>
        <v/>
      </c>
      <c r="B35" s="12"/>
      <c r="C35" s="12"/>
      <c r="D35" s="12"/>
      <c r="E35" s="12"/>
      <c r="F35" s="12"/>
      <c r="G35" s="12"/>
      <c r="H35" s="13" t="str">
        <f>IFERROR(INDEX('Master Pelanggaran'!$D$2:$D$73,MATCH(G35,'Master Pelanggaran'!$B$2:$B$73,0)),"")</f>
        <v/>
      </c>
      <c r="I35" s="12" t="str">
        <f>IFERROR(INDEX('Master Pelanggaran'!$C$2:$C$73,MATCH(G35,'Master Pelanggaran'!$B$2:$B$73,0)),"")</f>
        <v/>
      </c>
      <c r="J35" s="12" t="str">
        <f>IFERROR(INDEX('Master Pelanggaran'!$E$2:$E$73,MATCH(G35,'Master Pelanggaran'!$B$2:$B$73,0)),"")</f>
        <v/>
      </c>
      <c r="K35" s="12" t="str">
        <f>IF(C35="","",SUMIFS($J$5:J35,$C$5:C35,C35))</f>
        <v/>
      </c>
      <c r="L35" s="13" t="str">
        <f t="shared" si="1"/>
        <v/>
      </c>
      <c r="M35" s="12"/>
      <c r="N35" s="13"/>
    </row>
    <row r="36" spans="1:14" x14ac:dyDescent="0.25">
      <c r="A36" s="12" t="str">
        <f t="shared" si="0"/>
        <v/>
      </c>
      <c r="B36" s="12"/>
      <c r="C36" s="12"/>
      <c r="D36" s="12"/>
      <c r="E36" s="12"/>
      <c r="F36" s="12"/>
      <c r="G36" s="12"/>
      <c r="H36" s="13" t="str">
        <f>IFERROR(INDEX('Master Pelanggaran'!$D$2:$D$73,MATCH(G36,'Master Pelanggaran'!$B$2:$B$73,0)),"")</f>
        <v/>
      </c>
      <c r="I36" s="12" t="str">
        <f>IFERROR(INDEX('Master Pelanggaran'!$C$2:$C$73,MATCH(G36,'Master Pelanggaran'!$B$2:$B$73,0)),"")</f>
        <v/>
      </c>
      <c r="J36" s="12" t="str">
        <f>IFERROR(INDEX('Master Pelanggaran'!$E$2:$E$73,MATCH(G36,'Master Pelanggaran'!$B$2:$B$73,0)),"")</f>
        <v/>
      </c>
      <c r="K36" s="12" t="str">
        <f>IF(C36="","",SUMIFS($J$5:J36,$C$5:C36,C36))</f>
        <v/>
      </c>
      <c r="L36" s="13" t="str">
        <f t="shared" si="1"/>
        <v/>
      </c>
      <c r="M36" s="12"/>
      <c r="N36" s="13"/>
    </row>
    <row r="37" spans="1:14" x14ac:dyDescent="0.25">
      <c r="A37" s="12" t="str">
        <f t="shared" ref="A37:A68" si="2">IF(C37="","",ROW()-4)</f>
        <v/>
      </c>
      <c r="B37" s="12"/>
      <c r="C37" s="12"/>
      <c r="D37" s="12"/>
      <c r="E37" s="12"/>
      <c r="F37" s="12"/>
      <c r="G37" s="12"/>
      <c r="H37" s="13" t="str">
        <f>IFERROR(INDEX('Master Pelanggaran'!$D$2:$D$73,MATCH(G37,'Master Pelanggaran'!$B$2:$B$73,0)),"")</f>
        <v/>
      </c>
      <c r="I37" s="12" t="str">
        <f>IFERROR(INDEX('Master Pelanggaran'!$C$2:$C$73,MATCH(G37,'Master Pelanggaran'!$B$2:$B$73,0)),"")</f>
        <v/>
      </c>
      <c r="J37" s="12" t="str">
        <f>IFERROR(INDEX('Master Pelanggaran'!$E$2:$E$73,MATCH(G37,'Master Pelanggaran'!$B$2:$B$73,0)),"")</f>
        <v/>
      </c>
      <c r="K37" s="12" t="str">
        <f>IF(C37="","",SUMIFS($J$5:J37,$C$5:C37,C37))</f>
        <v/>
      </c>
      <c r="L37" s="13" t="str">
        <f t="shared" ref="L37:L68" si="3">IF(K37="","",IF(K37&gt;=100,"Dikembalikan ke orang tua",IF(K37&gt;=75,"Pemanggilan ortu (perjanjian); Pendampingan ahli; Wajib lapor shalat jama'ah; Larangan keluar 3 bulan",IF(K37&gt;=51,"Pemanggilan ortu (pernyataan); Digundul; Wajib lapor shalat 30 hari; Menghafal/menulis surat pilihan",IF(K37&gt;=35,"Pemanggilan ortu (peringatan); Digundul/jilbab pembinaan; Menghafal Juz 30/surat pilihan",IF(K37&gt;=21,"Pemberitahuan orang tua; Roan","Roan (Pembinaan)"))))))</f>
        <v/>
      </c>
      <c r="M37" s="12"/>
      <c r="N37" s="13"/>
    </row>
    <row r="38" spans="1:14" x14ac:dyDescent="0.25">
      <c r="A38" s="12" t="str">
        <f t="shared" si="2"/>
        <v/>
      </c>
      <c r="B38" s="12"/>
      <c r="C38" s="12"/>
      <c r="D38" s="12"/>
      <c r="E38" s="12"/>
      <c r="F38" s="12"/>
      <c r="G38" s="12"/>
      <c r="H38" s="13" t="str">
        <f>IFERROR(INDEX('Master Pelanggaran'!$D$2:$D$73,MATCH(G38,'Master Pelanggaran'!$B$2:$B$73,0)),"")</f>
        <v/>
      </c>
      <c r="I38" s="12" t="str">
        <f>IFERROR(INDEX('Master Pelanggaran'!$C$2:$C$73,MATCH(G38,'Master Pelanggaran'!$B$2:$B$73,0)),"")</f>
        <v/>
      </c>
      <c r="J38" s="12" t="str">
        <f>IFERROR(INDEX('Master Pelanggaran'!$E$2:$E$73,MATCH(G38,'Master Pelanggaran'!$B$2:$B$73,0)),"")</f>
        <v/>
      </c>
      <c r="K38" s="12" t="str">
        <f>IF(C38="","",SUMIFS($J$5:J38,$C$5:C38,C38))</f>
        <v/>
      </c>
      <c r="L38" s="13" t="str">
        <f t="shared" si="3"/>
        <v/>
      </c>
      <c r="M38" s="12"/>
      <c r="N38" s="13"/>
    </row>
    <row r="39" spans="1:14" x14ac:dyDescent="0.25">
      <c r="A39" s="12" t="str">
        <f t="shared" si="2"/>
        <v/>
      </c>
      <c r="B39" s="12"/>
      <c r="C39" s="12"/>
      <c r="D39" s="12"/>
      <c r="E39" s="12"/>
      <c r="F39" s="12"/>
      <c r="G39" s="12"/>
      <c r="H39" s="13" t="str">
        <f>IFERROR(INDEX('Master Pelanggaran'!$D$2:$D$73,MATCH(G39,'Master Pelanggaran'!$B$2:$B$73,0)),"")</f>
        <v/>
      </c>
      <c r="I39" s="12" t="str">
        <f>IFERROR(INDEX('Master Pelanggaran'!$C$2:$C$73,MATCH(G39,'Master Pelanggaran'!$B$2:$B$73,0)),"")</f>
        <v/>
      </c>
      <c r="J39" s="12" t="str">
        <f>IFERROR(INDEX('Master Pelanggaran'!$E$2:$E$73,MATCH(G39,'Master Pelanggaran'!$B$2:$B$73,0)),"")</f>
        <v/>
      </c>
      <c r="K39" s="12" t="str">
        <f>IF(C39="","",SUMIFS($J$5:J39,$C$5:C39,C39))</f>
        <v/>
      </c>
      <c r="L39" s="13" t="str">
        <f t="shared" si="3"/>
        <v/>
      </c>
      <c r="M39" s="12"/>
      <c r="N39" s="13"/>
    </row>
    <row r="40" spans="1:14" x14ac:dyDescent="0.25">
      <c r="A40" s="12" t="str">
        <f t="shared" si="2"/>
        <v/>
      </c>
      <c r="B40" s="12"/>
      <c r="C40" s="12"/>
      <c r="D40" s="12"/>
      <c r="E40" s="12"/>
      <c r="F40" s="12"/>
      <c r="G40" s="12"/>
      <c r="H40" s="13" t="str">
        <f>IFERROR(INDEX('Master Pelanggaran'!$D$2:$D$73,MATCH(G40,'Master Pelanggaran'!$B$2:$B$73,0)),"")</f>
        <v/>
      </c>
      <c r="I40" s="12" t="str">
        <f>IFERROR(INDEX('Master Pelanggaran'!$C$2:$C$73,MATCH(G40,'Master Pelanggaran'!$B$2:$B$73,0)),"")</f>
        <v/>
      </c>
      <c r="J40" s="12" t="str">
        <f>IFERROR(INDEX('Master Pelanggaran'!$E$2:$E$73,MATCH(G40,'Master Pelanggaran'!$B$2:$B$73,0)),"")</f>
        <v/>
      </c>
      <c r="K40" s="12" t="str">
        <f>IF(C40="","",SUMIFS($J$5:J40,$C$5:C40,C40))</f>
        <v/>
      </c>
      <c r="L40" s="13" t="str">
        <f t="shared" si="3"/>
        <v/>
      </c>
      <c r="M40" s="12"/>
      <c r="N40" s="13"/>
    </row>
    <row r="41" spans="1:14" x14ac:dyDescent="0.25">
      <c r="A41" s="12" t="str">
        <f t="shared" si="2"/>
        <v/>
      </c>
      <c r="B41" s="12"/>
      <c r="C41" s="12"/>
      <c r="D41" s="12"/>
      <c r="E41" s="12"/>
      <c r="F41" s="12"/>
      <c r="G41" s="12"/>
      <c r="H41" s="13" t="str">
        <f>IFERROR(INDEX('Master Pelanggaran'!$D$2:$D$73,MATCH(G41,'Master Pelanggaran'!$B$2:$B$73,0)),"")</f>
        <v/>
      </c>
      <c r="I41" s="12" t="str">
        <f>IFERROR(INDEX('Master Pelanggaran'!$C$2:$C$73,MATCH(G41,'Master Pelanggaran'!$B$2:$B$73,0)),"")</f>
        <v/>
      </c>
      <c r="J41" s="12" t="str">
        <f>IFERROR(INDEX('Master Pelanggaran'!$E$2:$E$73,MATCH(G41,'Master Pelanggaran'!$B$2:$B$73,0)),"")</f>
        <v/>
      </c>
      <c r="K41" s="12" t="str">
        <f>IF(C41="","",SUMIFS($J$5:J41,$C$5:C41,C41))</f>
        <v/>
      </c>
      <c r="L41" s="13" t="str">
        <f t="shared" si="3"/>
        <v/>
      </c>
      <c r="M41" s="12"/>
      <c r="N41" s="13"/>
    </row>
    <row r="42" spans="1:14" x14ac:dyDescent="0.25">
      <c r="A42" s="12" t="str">
        <f t="shared" si="2"/>
        <v/>
      </c>
      <c r="B42" s="12"/>
      <c r="C42" s="12"/>
      <c r="D42" s="12"/>
      <c r="E42" s="12"/>
      <c r="F42" s="12"/>
      <c r="G42" s="12"/>
      <c r="H42" s="13" t="str">
        <f>IFERROR(INDEX('Master Pelanggaran'!$D$2:$D$73,MATCH(G42,'Master Pelanggaran'!$B$2:$B$73,0)),"")</f>
        <v/>
      </c>
      <c r="I42" s="12" t="str">
        <f>IFERROR(INDEX('Master Pelanggaran'!$C$2:$C$73,MATCH(G42,'Master Pelanggaran'!$B$2:$B$73,0)),"")</f>
        <v/>
      </c>
      <c r="J42" s="12" t="str">
        <f>IFERROR(INDEX('Master Pelanggaran'!$E$2:$E$73,MATCH(G42,'Master Pelanggaran'!$B$2:$B$73,0)),"")</f>
        <v/>
      </c>
      <c r="K42" s="12" t="str">
        <f>IF(C42="","",SUMIFS($J$5:J42,$C$5:C42,C42))</f>
        <v/>
      </c>
      <c r="L42" s="13" t="str">
        <f t="shared" si="3"/>
        <v/>
      </c>
      <c r="M42" s="12"/>
      <c r="N42" s="13"/>
    </row>
    <row r="43" spans="1:14" x14ac:dyDescent="0.25">
      <c r="A43" s="12" t="str">
        <f t="shared" si="2"/>
        <v/>
      </c>
      <c r="B43" s="12"/>
      <c r="C43" s="12"/>
      <c r="D43" s="12"/>
      <c r="E43" s="12"/>
      <c r="F43" s="12"/>
      <c r="G43" s="12"/>
      <c r="H43" s="13" t="str">
        <f>IFERROR(INDEX('Master Pelanggaran'!$D$2:$D$73,MATCH(G43,'Master Pelanggaran'!$B$2:$B$73,0)),"")</f>
        <v/>
      </c>
      <c r="I43" s="12" t="str">
        <f>IFERROR(INDEX('Master Pelanggaran'!$C$2:$C$73,MATCH(G43,'Master Pelanggaran'!$B$2:$B$73,0)),"")</f>
        <v/>
      </c>
      <c r="J43" s="12" t="str">
        <f>IFERROR(INDEX('Master Pelanggaran'!$E$2:$E$73,MATCH(G43,'Master Pelanggaran'!$B$2:$B$73,0)),"")</f>
        <v/>
      </c>
      <c r="K43" s="12" t="str">
        <f>IF(C43="","",SUMIFS($J$5:J43,$C$5:C43,C43))</f>
        <v/>
      </c>
      <c r="L43" s="13" t="str">
        <f t="shared" si="3"/>
        <v/>
      </c>
      <c r="M43" s="12"/>
      <c r="N43" s="13"/>
    </row>
    <row r="44" spans="1:14" x14ac:dyDescent="0.25">
      <c r="A44" s="12" t="str">
        <f t="shared" si="2"/>
        <v/>
      </c>
      <c r="B44" s="12"/>
      <c r="C44" s="12"/>
      <c r="D44" s="12"/>
      <c r="E44" s="12"/>
      <c r="F44" s="12"/>
      <c r="G44" s="12"/>
      <c r="H44" s="13" t="str">
        <f>IFERROR(INDEX('Master Pelanggaran'!$D$2:$D$73,MATCH(G44,'Master Pelanggaran'!$B$2:$B$73,0)),"")</f>
        <v/>
      </c>
      <c r="I44" s="12" t="str">
        <f>IFERROR(INDEX('Master Pelanggaran'!$C$2:$C$73,MATCH(G44,'Master Pelanggaran'!$B$2:$B$73,0)),"")</f>
        <v/>
      </c>
      <c r="J44" s="12" t="str">
        <f>IFERROR(INDEX('Master Pelanggaran'!$E$2:$E$73,MATCH(G44,'Master Pelanggaran'!$B$2:$B$73,0)),"")</f>
        <v/>
      </c>
      <c r="K44" s="12" t="str">
        <f>IF(C44="","",SUMIFS($J$5:J44,$C$5:C44,C44))</f>
        <v/>
      </c>
      <c r="L44" s="13" t="str">
        <f t="shared" si="3"/>
        <v/>
      </c>
      <c r="M44" s="12"/>
      <c r="N44" s="13"/>
    </row>
    <row r="45" spans="1:14" x14ac:dyDescent="0.25">
      <c r="A45" s="12" t="str">
        <f t="shared" si="2"/>
        <v/>
      </c>
      <c r="B45" s="12"/>
      <c r="C45" s="12"/>
      <c r="D45" s="12"/>
      <c r="E45" s="12"/>
      <c r="F45" s="12"/>
      <c r="G45" s="12"/>
      <c r="H45" s="13" t="str">
        <f>IFERROR(INDEX('Master Pelanggaran'!$D$2:$D$73,MATCH(G45,'Master Pelanggaran'!$B$2:$B$73,0)),"")</f>
        <v/>
      </c>
      <c r="I45" s="12" t="str">
        <f>IFERROR(INDEX('Master Pelanggaran'!$C$2:$C$73,MATCH(G45,'Master Pelanggaran'!$B$2:$B$73,0)),"")</f>
        <v/>
      </c>
      <c r="J45" s="12" t="str">
        <f>IFERROR(INDEX('Master Pelanggaran'!$E$2:$E$73,MATCH(G45,'Master Pelanggaran'!$B$2:$B$73,0)),"")</f>
        <v/>
      </c>
      <c r="K45" s="12" t="str">
        <f>IF(C45="","",SUMIFS($J$5:J45,$C$5:C45,C45))</f>
        <v/>
      </c>
      <c r="L45" s="13" t="str">
        <f t="shared" si="3"/>
        <v/>
      </c>
      <c r="M45" s="12"/>
      <c r="N45" s="13"/>
    </row>
    <row r="46" spans="1:14" x14ac:dyDescent="0.25">
      <c r="A46" s="12" t="str">
        <f t="shared" si="2"/>
        <v/>
      </c>
      <c r="B46" s="12"/>
      <c r="C46" s="12"/>
      <c r="D46" s="12"/>
      <c r="E46" s="12"/>
      <c r="F46" s="12"/>
      <c r="G46" s="12"/>
      <c r="H46" s="13" t="str">
        <f>IFERROR(INDEX('Master Pelanggaran'!$D$2:$D$73,MATCH(G46,'Master Pelanggaran'!$B$2:$B$73,0)),"")</f>
        <v/>
      </c>
      <c r="I46" s="12" t="str">
        <f>IFERROR(INDEX('Master Pelanggaran'!$C$2:$C$73,MATCH(G46,'Master Pelanggaran'!$B$2:$B$73,0)),"")</f>
        <v/>
      </c>
      <c r="J46" s="12" t="str">
        <f>IFERROR(INDEX('Master Pelanggaran'!$E$2:$E$73,MATCH(G46,'Master Pelanggaran'!$B$2:$B$73,0)),"")</f>
        <v/>
      </c>
      <c r="K46" s="12" t="str">
        <f>IF(C46="","",SUMIFS($J$5:J46,$C$5:C46,C46))</f>
        <v/>
      </c>
      <c r="L46" s="13" t="str">
        <f t="shared" si="3"/>
        <v/>
      </c>
      <c r="M46" s="12"/>
      <c r="N46" s="13"/>
    </row>
    <row r="47" spans="1:14" x14ac:dyDescent="0.25">
      <c r="A47" s="12" t="str">
        <f t="shared" si="2"/>
        <v/>
      </c>
      <c r="B47" s="12"/>
      <c r="C47" s="12"/>
      <c r="D47" s="12"/>
      <c r="E47" s="12"/>
      <c r="F47" s="12"/>
      <c r="G47" s="12"/>
      <c r="H47" s="13" t="str">
        <f>IFERROR(INDEX('Master Pelanggaran'!$D$2:$D$73,MATCH(G47,'Master Pelanggaran'!$B$2:$B$73,0)),"")</f>
        <v/>
      </c>
      <c r="I47" s="12" t="str">
        <f>IFERROR(INDEX('Master Pelanggaran'!$C$2:$C$73,MATCH(G47,'Master Pelanggaran'!$B$2:$B$73,0)),"")</f>
        <v/>
      </c>
      <c r="J47" s="12" t="str">
        <f>IFERROR(INDEX('Master Pelanggaran'!$E$2:$E$73,MATCH(G47,'Master Pelanggaran'!$B$2:$B$73,0)),"")</f>
        <v/>
      </c>
      <c r="K47" s="12" t="str">
        <f>IF(C47="","",SUMIFS($J$5:J47,$C$5:C47,C47))</f>
        <v/>
      </c>
      <c r="L47" s="13" t="str">
        <f t="shared" si="3"/>
        <v/>
      </c>
      <c r="M47" s="12"/>
      <c r="N47" s="13"/>
    </row>
    <row r="48" spans="1:14" x14ac:dyDescent="0.25">
      <c r="A48" s="12" t="str">
        <f t="shared" si="2"/>
        <v/>
      </c>
      <c r="B48" s="12"/>
      <c r="C48" s="12"/>
      <c r="D48" s="12"/>
      <c r="E48" s="12"/>
      <c r="F48" s="12"/>
      <c r="G48" s="12"/>
      <c r="H48" s="13" t="str">
        <f>IFERROR(INDEX('Master Pelanggaran'!$D$2:$D$73,MATCH(G48,'Master Pelanggaran'!$B$2:$B$73,0)),"")</f>
        <v/>
      </c>
      <c r="I48" s="12" t="str">
        <f>IFERROR(INDEX('Master Pelanggaran'!$C$2:$C$73,MATCH(G48,'Master Pelanggaran'!$B$2:$B$73,0)),"")</f>
        <v/>
      </c>
      <c r="J48" s="12" t="str">
        <f>IFERROR(INDEX('Master Pelanggaran'!$E$2:$E$73,MATCH(G48,'Master Pelanggaran'!$B$2:$B$73,0)),"")</f>
        <v/>
      </c>
      <c r="K48" s="12" t="str">
        <f>IF(C48="","",SUMIFS($J$5:J48,$C$5:C48,C48))</f>
        <v/>
      </c>
      <c r="L48" s="13" t="str">
        <f t="shared" si="3"/>
        <v/>
      </c>
      <c r="M48" s="12"/>
      <c r="N48" s="13"/>
    </row>
    <row r="49" spans="1:14" x14ac:dyDescent="0.25">
      <c r="A49" s="12" t="str">
        <f t="shared" si="2"/>
        <v/>
      </c>
      <c r="B49" s="12"/>
      <c r="C49" s="12"/>
      <c r="D49" s="12"/>
      <c r="E49" s="12"/>
      <c r="F49" s="12"/>
      <c r="G49" s="12"/>
      <c r="H49" s="13" t="str">
        <f>IFERROR(INDEX('Master Pelanggaran'!$D$2:$D$73,MATCH(G49,'Master Pelanggaran'!$B$2:$B$73,0)),"")</f>
        <v/>
      </c>
      <c r="I49" s="12" t="str">
        <f>IFERROR(INDEX('Master Pelanggaran'!$C$2:$C$73,MATCH(G49,'Master Pelanggaran'!$B$2:$B$73,0)),"")</f>
        <v/>
      </c>
      <c r="J49" s="12" t="str">
        <f>IFERROR(INDEX('Master Pelanggaran'!$E$2:$E$73,MATCH(G49,'Master Pelanggaran'!$B$2:$B$73,0)),"")</f>
        <v/>
      </c>
      <c r="K49" s="12" t="str">
        <f>IF(C49="","",SUMIFS($J$5:J49,$C$5:C49,C49))</f>
        <v/>
      </c>
      <c r="L49" s="13" t="str">
        <f t="shared" si="3"/>
        <v/>
      </c>
      <c r="M49" s="12"/>
      <c r="N49" s="13"/>
    </row>
    <row r="50" spans="1:14" x14ac:dyDescent="0.25">
      <c r="A50" s="12" t="str">
        <f t="shared" si="2"/>
        <v/>
      </c>
      <c r="B50" s="12"/>
      <c r="C50" s="12"/>
      <c r="D50" s="12"/>
      <c r="E50" s="12"/>
      <c r="F50" s="12"/>
      <c r="G50" s="12"/>
      <c r="H50" s="13" t="str">
        <f>IFERROR(INDEX('Master Pelanggaran'!$D$2:$D$73,MATCH(G50,'Master Pelanggaran'!$B$2:$B$73,0)),"")</f>
        <v/>
      </c>
      <c r="I50" s="12" t="str">
        <f>IFERROR(INDEX('Master Pelanggaran'!$C$2:$C$73,MATCH(G50,'Master Pelanggaran'!$B$2:$B$73,0)),"")</f>
        <v/>
      </c>
      <c r="J50" s="12" t="str">
        <f>IFERROR(INDEX('Master Pelanggaran'!$E$2:$E$73,MATCH(G50,'Master Pelanggaran'!$B$2:$B$73,0)),"")</f>
        <v/>
      </c>
      <c r="K50" s="12" t="str">
        <f>IF(C50="","",SUMIFS($J$5:J50,$C$5:C50,C50))</f>
        <v/>
      </c>
      <c r="L50" s="13" t="str">
        <f t="shared" si="3"/>
        <v/>
      </c>
      <c r="M50" s="12"/>
      <c r="N50" s="13"/>
    </row>
    <row r="51" spans="1:14" x14ac:dyDescent="0.25">
      <c r="A51" s="12" t="str">
        <f t="shared" si="2"/>
        <v/>
      </c>
      <c r="B51" s="12"/>
      <c r="C51" s="12"/>
      <c r="D51" s="12"/>
      <c r="E51" s="12"/>
      <c r="F51" s="12"/>
      <c r="G51" s="12"/>
      <c r="H51" s="13" t="str">
        <f>IFERROR(INDEX('Master Pelanggaran'!$D$2:$D$73,MATCH(G51,'Master Pelanggaran'!$B$2:$B$73,0)),"")</f>
        <v/>
      </c>
      <c r="I51" s="12" t="str">
        <f>IFERROR(INDEX('Master Pelanggaran'!$C$2:$C$73,MATCH(G51,'Master Pelanggaran'!$B$2:$B$73,0)),"")</f>
        <v/>
      </c>
      <c r="J51" s="12" t="str">
        <f>IFERROR(INDEX('Master Pelanggaran'!$E$2:$E$73,MATCH(G51,'Master Pelanggaran'!$B$2:$B$73,0)),"")</f>
        <v/>
      </c>
      <c r="K51" s="12" t="str">
        <f>IF(C51="","",SUMIFS($J$5:J51,$C$5:C51,C51))</f>
        <v/>
      </c>
      <c r="L51" s="13" t="str">
        <f t="shared" si="3"/>
        <v/>
      </c>
      <c r="M51" s="12"/>
      <c r="N51" s="13"/>
    </row>
    <row r="52" spans="1:14" x14ac:dyDescent="0.25">
      <c r="A52" s="12" t="str">
        <f t="shared" si="2"/>
        <v/>
      </c>
      <c r="B52" s="12"/>
      <c r="C52" s="12"/>
      <c r="D52" s="12"/>
      <c r="E52" s="12"/>
      <c r="F52" s="12"/>
      <c r="G52" s="12"/>
      <c r="H52" s="13" t="str">
        <f>IFERROR(INDEX('Master Pelanggaran'!$D$2:$D$73,MATCH(G52,'Master Pelanggaran'!$B$2:$B$73,0)),"")</f>
        <v/>
      </c>
      <c r="I52" s="12" t="str">
        <f>IFERROR(INDEX('Master Pelanggaran'!$C$2:$C$73,MATCH(G52,'Master Pelanggaran'!$B$2:$B$73,0)),"")</f>
        <v/>
      </c>
      <c r="J52" s="12" t="str">
        <f>IFERROR(INDEX('Master Pelanggaran'!$E$2:$E$73,MATCH(G52,'Master Pelanggaran'!$B$2:$B$73,0)),"")</f>
        <v/>
      </c>
      <c r="K52" s="12" t="str">
        <f>IF(C52="","",SUMIFS($J$5:J52,$C$5:C52,C52))</f>
        <v/>
      </c>
      <c r="L52" s="13" t="str">
        <f t="shared" si="3"/>
        <v/>
      </c>
      <c r="M52" s="12"/>
      <c r="N52" s="13"/>
    </row>
    <row r="53" spans="1:14" x14ac:dyDescent="0.25">
      <c r="A53" s="12" t="str">
        <f t="shared" si="2"/>
        <v/>
      </c>
      <c r="B53" s="12"/>
      <c r="C53" s="12"/>
      <c r="D53" s="12"/>
      <c r="E53" s="12"/>
      <c r="F53" s="12"/>
      <c r="G53" s="12"/>
      <c r="H53" s="13" t="str">
        <f>IFERROR(INDEX('Master Pelanggaran'!$D$2:$D$73,MATCH(G53,'Master Pelanggaran'!$B$2:$B$73,0)),"")</f>
        <v/>
      </c>
      <c r="I53" s="12" t="str">
        <f>IFERROR(INDEX('Master Pelanggaran'!$C$2:$C$73,MATCH(G53,'Master Pelanggaran'!$B$2:$B$73,0)),"")</f>
        <v/>
      </c>
      <c r="J53" s="12" t="str">
        <f>IFERROR(INDEX('Master Pelanggaran'!$E$2:$E$73,MATCH(G53,'Master Pelanggaran'!$B$2:$B$73,0)),"")</f>
        <v/>
      </c>
      <c r="K53" s="12" t="str">
        <f>IF(C53="","",SUMIFS($J$5:J53,$C$5:C53,C53))</f>
        <v/>
      </c>
      <c r="L53" s="13" t="str">
        <f t="shared" si="3"/>
        <v/>
      </c>
      <c r="M53" s="12"/>
      <c r="N53" s="13"/>
    </row>
    <row r="54" spans="1:14" x14ac:dyDescent="0.25">
      <c r="A54" s="12" t="str">
        <f t="shared" si="2"/>
        <v/>
      </c>
      <c r="B54" s="12"/>
      <c r="C54" s="12"/>
      <c r="D54" s="12"/>
      <c r="E54" s="12"/>
      <c r="F54" s="12"/>
      <c r="G54" s="12"/>
      <c r="H54" s="13" t="str">
        <f>IFERROR(INDEX('Master Pelanggaran'!$D$2:$D$73,MATCH(G54,'Master Pelanggaran'!$B$2:$B$73,0)),"")</f>
        <v/>
      </c>
      <c r="I54" s="12" t="str">
        <f>IFERROR(INDEX('Master Pelanggaran'!$C$2:$C$73,MATCH(G54,'Master Pelanggaran'!$B$2:$B$73,0)),"")</f>
        <v/>
      </c>
      <c r="J54" s="12" t="str">
        <f>IFERROR(INDEX('Master Pelanggaran'!$E$2:$E$73,MATCH(G54,'Master Pelanggaran'!$B$2:$B$73,0)),"")</f>
        <v/>
      </c>
      <c r="K54" s="12" t="str">
        <f>IF(C54="","",SUMIFS($J$5:J54,$C$5:C54,C54))</f>
        <v/>
      </c>
      <c r="L54" s="13" t="str">
        <f t="shared" si="3"/>
        <v/>
      </c>
      <c r="M54" s="12"/>
      <c r="N54" s="13"/>
    </row>
    <row r="55" spans="1:14" x14ac:dyDescent="0.25">
      <c r="A55" s="12" t="str">
        <f t="shared" si="2"/>
        <v/>
      </c>
      <c r="B55" s="12"/>
      <c r="C55" s="12"/>
      <c r="D55" s="12"/>
      <c r="E55" s="12"/>
      <c r="F55" s="12"/>
      <c r="G55" s="12"/>
      <c r="H55" s="13" t="str">
        <f>IFERROR(INDEX('Master Pelanggaran'!$D$2:$D$73,MATCH(G55,'Master Pelanggaran'!$B$2:$B$73,0)),"")</f>
        <v/>
      </c>
      <c r="I55" s="12" t="str">
        <f>IFERROR(INDEX('Master Pelanggaran'!$C$2:$C$73,MATCH(G55,'Master Pelanggaran'!$B$2:$B$73,0)),"")</f>
        <v/>
      </c>
      <c r="J55" s="12" t="str">
        <f>IFERROR(INDEX('Master Pelanggaran'!$E$2:$E$73,MATCH(G55,'Master Pelanggaran'!$B$2:$B$73,0)),"")</f>
        <v/>
      </c>
      <c r="K55" s="12" t="str">
        <f>IF(C55="","",SUMIFS($J$5:J55,$C$5:C55,C55))</f>
        <v/>
      </c>
      <c r="L55" s="13" t="str">
        <f t="shared" si="3"/>
        <v/>
      </c>
      <c r="M55" s="12"/>
      <c r="N55" s="13"/>
    </row>
    <row r="56" spans="1:14" x14ac:dyDescent="0.25">
      <c r="A56" s="12" t="str">
        <f t="shared" si="2"/>
        <v/>
      </c>
      <c r="B56" s="12"/>
      <c r="C56" s="12"/>
      <c r="D56" s="12"/>
      <c r="E56" s="12"/>
      <c r="F56" s="12"/>
      <c r="G56" s="12"/>
      <c r="H56" s="13" t="str">
        <f>IFERROR(INDEX('Master Pelanggaran'!$D$2:$D$73,MATCH(G56,'Master Pelanggaran'!$B$2:$B$73,0)),"")</f>
        <v/>
      </c>
      <c r="I56" s="12" t="str">
        <f>IFERROR(INDEX('Master Pelanggaran'!$C$2:$C$73,MATCH(G56,'Master Pelanggaran'!$B$2:$B$73,0)),"")</f>
        <v/>
      </c>
      <c r="J56" s="12" t="str">
        <f>IFERROR(INDEX('Master Pelanggaran'!$E$2:$E$73,MATCH(G56,'Master Pelanggaran'!$B$2:$B$73,0)),"")</f>
        <v/>
      </c>
      <c r="K56" s="12" t="str">
        <f>IF(C56="","",SUMIFS($J$5:J56,$C$5:C56,C56))</f>
        <v/>
      </c>
      <c r="L56" s="13" t="str">
        <f t="shared" si="3"/>
        <v/>
      </c>
      <c r="M56" s="12"/>
      <c r="N56" s="13"/>
    </row>
    <row r="57" spans="1:14" x14ac:dyDescent="0.25">
      <c r="A57" s="12" t="str">
        <f t="shared" si="2"/>
        <v/>
      </c>
      <c r="B57" s="12"/>
      <c r="C57" s="12"/>
      <c r="D57" s="12"/>
      <c r="E57" s="12"/>
      <c r="F57" s="12"/>
      <c r="G57" s="12"/>
      <c r="H57" s="13" t="str">
        <f>IFERROR(INDEX('Master Pelanggaran'!$D$2:$D$73,MATCH(G57,'Master Pelanggaran'!$B$2:$B$73,0)),"")</f>
        <v/>
      </c>
      <c r="I57" s="12" t="str">
        <f>IFERROR(INDEX('Master Pelanggaran'!$C$2:$C$73,MATCH(G57,'Master Pelanggaran'!$B$2:$B$73,0)),"")</f>
        <v/>
      </c>
      <c r="J57" s="12" t="str">
        <f>IFERROR(INDEX('Master Pelanggaran'!$E$2:$E$73,MATCH(G57,'Master Pelanggaran'!$B$2:$B$73,0)),"")</f>
        <v/>
      </c>
      <c r="K57" s="12" t="str">
        <f>IF(C57="","",SUMIFS($J$5:J57,$C$5:C57,C57))</f>
        <v/>
      </c>
      <c r="L57" s="13" t="str">
        <f t="shared" si="3"/>
        <v/>
      </c>
      <c r="M57" s="12"/>
      <c r="N57" s="13"/>
    </row>
    <row r="58" spans="1:14" x14ac:dyDescent="0.25">
      <c r="A58" s="12" t="str">
        <f t="shared" si="2"/>
        <v/>
      </c>
      <c r="B58" s="12"/>
      <c r="C58" s="12"/>
      <c r="D58" s="12"/>
      <c r="E58" s="12"/>
      <c r="F58" s="12"/>
      <c r="G58" s="12"/>
      <c r="H58" s="13" t="str">
        <f>IFERROR(INDEX('Master Pelanggaran'!$D$2:$D$73,MATCH(G58,'Master Pelanggaran'!$B$2:$B$73,0)),"")</f>
        <v/>
      </c>
      <c r="I58" s="12" t="str">
        <f>IFERROR(INDEX('Master Pelanggaran'!$C$2:$C$73,MATCH(G58,'Master Pelanggaran'!$B$2:$B$73,0)),"")</f>
        <v/>
      </c>
      <c r="J58" s="12" t="str">
        <f>IFERROR(INDEX('Master Pelanggaran'!$E$2:$E$73,MATCH(G58,'Master Pelanggaran'!$B$2:$B$73,0)),"")</f>
        <v/>
      </c>
      <c r="K58" s="12" t="str">
        <f>IF(C58="","",SUMIFS($J$5:J58,$C$5:C58,C58))</f>
        <v/>
      </c>
      <c r="L58" s="13" t="str">
        <f t="shared" si="3"/>
        <v/>
      </c>
      <c r="M58" s="12"/>
      <c r="N58" s="13"/>
    </row>
    <row r="59" spans="1:14" x14ac:dyDescent="0.25">
      <c r="A59" s="12" t="str">
        <f t="shared" si="2"/>
        <v/>
      </c>
      <c r="B59" s="12"/>
      <c r="C59" s="12"/>
      <c r="D59" s="12"/>
      <c r="E59" s="12"/>
      <c r="F59" s="12"/>
      <c r="G59" s="12"/>
      <c r="H59" s="13" t="str">
        <f>IFERROR(INDEX('Master Pelanggaran'!$D$2:$D$73,MATCH(G59,'Master Pelanggaran'!$B$2:$B$73,0)),"")</f>
        <v/>
      </c>
      <c r="I59" s="12" t="str">
        <f>IFERROR(INDEX('Master Pelanggaran'!$C$2:$C$73,MATCH(G59,'Master Pelanggaran'!$B$2:$B$73,0)),"")</f>
        <v/>
      </c>
      <c r="J59" s="12" t="str">
        <f>IFERROR(INDEX('Master Pelanggaran'!$E$2:$E$73,MATCH(G59,'Master Pelanggaran'!$B$2:$B$73,0)),"")</f>
        <v/>
      </c>
      <c r="K59" s="12" t="str">
        <f>IF(C59="","",SUMIFS($J$5:J59,$C$5:C59,C59))</f>
        <v/>
      </c>
      <c r="L59" s="13" t="str">
        <f t="shared" si="3"/>
        <v/>
      </c>
      <c r="M59" s="12"/>
      <c r="N59" s="13"/>
    </row>
    <row r="60" spans="1:14" x14ac:dyDescent="0.25">
      <c r="A60" s="12" t="str">
        <f t="shared" si="2"/>
        <v/>
      </c>
      <c r="B60" s="12"/>
      <c r="C60" s="12"/>
      <c r="D60" s="12"/>
      <c r="E60" s="12"/>
      <c r="F60" s="12"/>
      <c r="G60" s="12"/>
      <c r="H60" s="13" t="str">
        <f>IFERROR(INDEX('Master Pelanggaran'!$D$2:$D$73,MATCH(G60,'Master Pelanggaran'!$B$2:$B$73,0)),"")</f>
        <v/>
      </c>
      <c r="I60" s="12" t="str">
        <f>IFERROR(INDEX('Master Pelanggaran'!$C$2:$C$73,MATCH(G60,'Master Pelanggaran'!$B$2:$B$73,0)),"")</f>
        <v/>
      </c>
      <c r="J60" s="12" t="str">
        <f>IFERROR(INDEX('Master Pelanggaran'!$E$2:$E$73,MATCH(G60,'Master Pelanggaran'!$B$2:$B$73,0)),"")</f>
        <v/>
      </c>
      <c r="K60" s="12" t="str">
        <f>IF(C60="","",SUMIFS($J$5:J60,$C$5:C60,C60))</f>
        <v/>
      </c>
      <c r="L60" s="13" t="str">
        <f t="shared" si="3"/>
        <v/>
      </c>
      <c r="M60" s="12"/>
      <c r="N60" s="13"/>
    </row>
    <row r="61" spans="1:14" x14ac:dyDescent="0.25">
      <c r="A61" s="12" t="str">
        <f t="shared" si="2"/>
        <v/>
      </c>
      <c r="B61" s="12"/>
      <c r="C61" s="12"/>
      <c r="D61" s="12"/>
      <c r="E61" s="12"/>
      <c r="F61" s="12"/>
      <c r="G61" s="12"/>
      <c r="H61" s="13" t="str">
        <f>IFERROR(INDEX('Master Pelanggaran'!$D$2:$D$73,MATCH(G61,'Master Pelanggaran'!$B$2:$B$73,0)),"")</f>
        <v/>
      </c>
      <c r="I61" s="12" t="str">
        <f>IFERROR(INDEX('Master Pelanggaran'!$C$2:$C$73,MATCH(G61,'Master Pelanggaran'!$B$2:$B$73,0)),"")</f>
        <v/>
      </c>
      <c r="J61" s="12" t="str">
        <f>IFERROR(INDEX('Master Pelanggaran'!$E$2:$E$73,MATCH(G61,'Master Pelanggaran'!$B$2:$B$73,0)),"")</f>
        <v/>
      </c>
      <c r="K61" s="12" t="str">
        <f>IF(C61="","",SUMIFS($J$5:J61,$C$5:C61,C61))</f>
        <v/>
      </c>
      <c r="L61" s="13" t="str">
        <f t="shared" si="3"/>
        <v/>
      </c>
      <c r="M61" s="12"/>
      <c r="N61" s="13"/>
    </row>
    <row r="62" spans="1:14" x14ac:dyDescent="0.25">
      <c r="A62" s="12" t="str">
        <f t="shared" si="2"/>
        <v/>
      </c>
      <c r="B62" s="12"/>
      <c r="C62" s="12"/>
      <c r="D62" s="12"/>
      <c r="E62" s="12"/>
      <c r="F62" s="12"/>
      <c r="G62" s="12"/>
      <c r="H62" s="13" t="str">
        <f>IFERROR(INDEX('Master Pelanggaran'!$D$2:$D$73,MATCH(G62,'Master Pelanggaran'!$B$2:$B$73,0)),"")</f>
        <v/>
      </c>
      <c r="I62" s="12" t="str">
        <f>IFERROR(INDEX('Master Pelanggaran'!$C$2:$C$73,MATCH(G62,'Master Pelanggaran'!$B$2:$B$73,0)),"")</f>
        <v/>
      </c>
      <c r="J62" s="12" t="str">
        <f>IFERROR(INDEX('Master Pelanggaran'!$E$2:$E$73,MATCH(G62,'Master Pelanggaran'!$B$2:$B$73,0)),"")</f>
        <v/>
      </c>
      <c r="K62" s="12" t="str">
        <f>IF(C62="","",SUMIFS($J$5:J62,$C$5:C62,C62))</f>
        <v/>
      </c>
      <c r="L62" s="13" t="str">
        <f t="shared" si="3"/>
        <v/>
      </c>
      <c r="M62" s="12"/>
      <c r="N62" s="13"/>
    </row>
    <row r="63" spans="1:14" x14ac:dyDescent="0.25">
      <c r="A63" s="12" t="str">
        <f t="shared" si="2"/>
        <v/>
      </c>
      <c r="B63" s="12"/>
      <c r="C63" s="12"/>
      <c r="D63" s="12"/>
      <c r="E63" s="12"/>
      <c r="F63" s="12"/>
      <c r="G63" s="12"/>
      <c r="H63" s="13" t="str">
        <f>IFERROR(INDEX('Master Pelanggaran'!$D$2:$D$73,MATCH(G63,'Master Pelanggaran'!$B$2:$B$73,0)),"")</f>
        <v/>
      </c>
      <c r="I63" s="12" t="str">
        <f>IFERROR(INDEX('Master Pelanggaran'!$C$2:$C$73,MATCH(G63,'Master Pelanggaran'!$B$2:$B$73,0)),"")</f>
        <v/>
      </c>
      <c r="J63" s="12" t="str">
        <f>IFERROR(INDEX('Master Pelanggaran'!$E$2:$E$73,MATCH(G63,'Master Pelanggaran'!$B$2:$B$73,0)),"")</f>
        <v/>
      </c>
      <c r="K63" s="12" t="str">
        <f>IF(C63="","",SUMIFS($J$5:J63,$C$5:C63,C63))</f>
        <v/>
      </c>
      <c r="L63" s="13" t="str">
        <f t="shared" si="3"/>
        <v/>
      </c>
      <c r="M63" s="12"/>
      <c r="N63" s="13"/>
    </row>
    <row r="64" spans="1:14" x14ac:dyDescent="0.25">
      <c r="A64" s="12" t="str">
        <f t="shared" si="2"/>
        <v/>
      </c>
      <c r="B64" s="12"/>
      <c r="C64" s="12"/>
      <c r="D64" s="12"/>
      <c r="E64" s="12"/>
      <c r="F64" s="12"/>
      <c r="G64" s="12"/>
      <c r="H64" s="13" t="str">
        <f>IFERROR(INDEX('Master Pelanggaran'!$D$2:$D$73,MATCH(G64,'Master Pelanggaran'!$B$2:$B$73,0)),"")</f>
        <v/>
      </c>
      <c r="I64" s="12" t="str">
        <f>IFERROR(INDEX('Master Pelanggaran'!$C$2:$C$73,MATCH(G64,'Master Pelanggaran'!$B$2:$B$73,0)),"")</f>
        <v/>
      </c>
      <c r="J64" s="12" t="str">
        <f>IFERROR(INDEX('Master Pelanggaran'!$E$2:$E$73,MATCH(G64,'Master Pelanggaran'!$B$2:$B$73,0)),"")</f>
        <v/>
      </c>
      <c r="K64" s="12" t="str">
        <f>IF(C64="","",SUMIFS($J$5:J64,$C$5:C64,C64))</f>
        <v/>
      </c>
      <c r="L64" s="13" t="str">
        <f t="shared" si="3"/>
        <v/>
      </c>
      <c r="M64" s="12"/>
      <c r="N64" s="13"/>
    </row>
    <row r="65" spans="1:14" x14ac:dyDescent="0.25">
      <c r="A65" s="12" t="str">
        <f t="shared" si="2"/>
        <v/>
      </c>
      <c r="B65" s="12"/>
      <c r="C65" s="12"/>
      <c r="D65" s="12"/>
      <c r="E65" s="12"/>
      <c r="F65" s="12"/>
      <c r="G65" s="12"/>
      <c r="H65" s="13" t="str">
        <f>IFERROR(INDEX('Master Pelanggaran'!$D$2:$D$73,MATCH(G65,'Master Pelanggaran'!$B$2:$B$73,0)),"")</f>
        <v/>
      </c>
      <c r="I65" s="12" t="str">
        <f>IFERROR(INDEX('Master Pelanggaran'!$C$2:$C$73,MATCH(G65,'Master Pelanggaran'!$B$2:$B$73,0)),"")</f>
        <v/>
      </c>
      <c r="J65" s="12" t="str">
        <f>IFERROR(INDEX('Master Pelanggaran'!$E$2:$E$73,MATCH(G65,'Master Pelanggaran'!$B$2:$B$73,0)),"")</f>
        <v/>
      </c>
      <c r="K65" s="12" t="str">
        <f>IF(C65="","",SUMIFS($J$5:J65,$C$5:C65,C65))</f>
        <v/>
      </c>
      <c r="L65" s="13" t="str">
        <f t="shared" si="3"/>
        <v/>
      </c>
      <c r="M65" s="12"/>
      <c r="N65" s="13"/>
    </row>
    <row r="66" spans="1:14" x14ac:dyDescent="0.25">
      <c r="A66" s="12" t="str">
        <f t="shared" si="2"/>
        <v/>
      </c>
      <c r="B66" s="12"/>
      <c r="C66" s="12"/>
      <c r="D66" s="12"/>
      <c r="E66" s="12"/>
      <c r="F66" s="12"/>
      <c r="G66" s="12"/>
      <c r="H66" s="13" t="str">
        <f>IFERROR(INDEX('Master Pelanggaran'!$D$2:$D$73,MATCH(G66,'Master Pelanggaran'!$B$2:$B$73,0)),"")</f>
        <v/>
      </c>
      <c r="I66" s="12" t="str">
        <f>IFERROR(INDEX('Master Pelanggaran'!$C$2:$C$73,MATCH(G66,'Master Pelanggaran'!$B$2:$B$73,0)),"")</f>
        <v/>
      </c>
      <c r="J66" s="12" t="str">
        <f>IFERROR(INDEX('Master Pelanggaran'!$E$2:$E$73,MATCH(G66,'Master Pelanggaran'!$B$2:$B$73,0)),"")</f>
        <v/>
      </c>
      <c r="K66" s="12" t="str">
        <f>IF(C66="","",SUMIFS($J$5:J66,$C$5:C66,C66))</f>
        <v/>
      </c>
      <c r="L66" s="13" t="str">
        <f t="shared" si="3"/>
        <v/>
      </c>
      <c r="M66" s="12"/>
      <c r="N66" s="13"/>
    </row>
    <row r="67" spans="1:14" x14ac:dyDescent="0.25">
      <c r="A67" s="12" t="str">
        <f t="shared" si="2"/>
        <v/>
      </c>
      <c r="B67" s="12"/>
      <c r="C67" s="12"/>
      <c r="D67" s="12"/>
      <c r="E67" s="12"/>
      <c r="F67" s="12"/>
      <c r="G67" s="12"/>
      <c r="H67" s="13" t="str">
        <f>IFERROR(INDEX('Master Pelanggaran'!$D$2:$D$73,MATCH(G67,'Master Pelanggaran'!$B$2:$B$73,0)),"")</f>
        <v/>
      </c>
      <c r="I67" s="12" t="str">
        <f>IFERROR(INDEX('Master Pelanggaran'!$C$2:$C$73,MATCH(G67,'Master Pelanggaran'!$B$2:$B$73,0)),"")</f>
        <v/>
      </c>
      <c r="J67" s="12" t="str">
        <f>IFERROR(INDEX('Master Pelanggaran'!$E$2:$E$73,MATCH(G67,'Master Pelanggaran'!$B$2:$B$73,0)),"")</f>
        <v/>
      </c>
      <c r="K67" s="12" t="str">
        <f>IF(C67="","",SUMIFS($J$5:J67,$C$5:C67,C67))</f>
        <v/>
      </c>
      <c r="L67" s="13" t="str">
        <f t="shared" si="3"/>
        <v/>
      </c>
      <c r="M67" s="12"/>
      <c r="N67" s="13"/>
    </row>
    <row r="68" spans="1:14" x14ac:dyDescent="0.25">
      <c r="A68" s="12" t="str">
        <f t="shared" si="2"/>
        <v/>
      </c>
      <c r="B68" s="12"/>
      <c r="C68" s="12"/>
      <c r="D68" s="12"/>
      <c r="E68" s="12"/>
      <c r="F68" s="12"/>
      <c r="G68" s="12"/>
      <c r="H68" s="13" t="str">
        <f>IFERROR(INDEX('Master Pelanggaran'!$D$2:$D$73,MATCH(G68,'Master Pelanggaran'!$B$2:$B$73,0)),"")</f>
        <v/>
      </c>
      <c r="I68" s="12" t="str">
        <f>IFERROR(INDEX('Master Pelanggaran'!$C$2:$C$73,MATCH(G68,'Master Pelanggaran'!$B$2:$B$73,0)),"")</f>
        <v/>
      </c>
      <c r="J68" s="12" t="str">
        <f>IFERROR(INDEX('Master Pelanggaran'!$E$2:$E$73,MATCH(G68,'Master Pelanggaran'!$B$2:$B$73,0)),"")</f>
        <v/>
      </c>
      <c r="K68" s="12" t="str">
        <f>IF(C68="","",SUMIFS($J$5:J68,$C$5:C68,C68))</f>
        <v/>
      </c>
      <c r="L68" s="13" t="str">
        <f t="shared" si="3"/>
        <v/>
      </c>
      <c r="M68" s="12"/>
      <c r="N68" s="13"/>
    </row>
    <row r="69" spans="1:14" x14ac:dyDescent="0.25">
      <c r="A69" s="12" t="str">
        <f t="shared" ref="A69:A100" si="4">IF(C69="","",ROW()-4)</f>
        <v/>
      </c>
      <c r="B69" s="12"/>
      <c r="C69" s="12"/>
      <c r="D69" s="12"/>
      <c r="E69" s="12"/>
      <c r="F69" s="12"/>
      <c r="G69" s="12"/>
      <c r="H69" s="13" t="str">
        <f>IFERROR(INDEX('Master Pelanggaran'!$D$2:$D$73,MATCH(G69,'Master Pelanggaran'!$B$2:$B$73,0)),"")</f>
        <v/>
      </c>
      <c r="I69" s="12" t="str">
        <f>IFERROR(INDEX('Master Pelanggaran'!$C$2:$C$73,MATCH(G69,'Master Pelanggaran'!$B$2:$B$73,0)),"")</f>
        <v/>
      </c>
      <c r="J69" s="12" t="str">
        <f>IFERROR(INDEX('Master Pelanggaran'!$E$2:$E$73,MATCH(G69,'Master Pelanggaran'!$B$2:$B$73,0)),"")</f>
        <v/>
      </c>
      <c r="K69" s="12" t="str">
        <f>IF(C69="","",SUMIFS($J$5:J69,$C$5:C69,C69))</f>
        <v/>
      </c>
      <c r="L69" s="13" t="str">
        <f t="shared" ref="L69:L100" si="5">IF(K69="","",IF(K69&gt;=100,"Dikembalikan ke orang tua",IF(K69&gt;=75,"Pemanggilan ortu (perjanjian); Pendampingan ahli; Wajib lapor shalat jama'ah; Larangan keluar 3 bulan",IF(K69&gt;=51,"Pemanggilan ortu (pernyataan); Digundul; Wajib lapor shalat 30 hari; Menghafal/menulis surat pilihan",IF(K69&gt;=35,"Pemanggilan ortu (peringatan); Digundul/jilbab pembinaan; Menghafal Juz 30/surat pilihan",IF(K69&gt;=21,"Pemberitahuan orang tua; Roan","Roan (Pembinaan)"))))))</f>
        <v/>
      </c>
      <c r="M69" s="12"/>
      <c r="N69" s="13"/>
    </row>
    <row r="70" spans="1:14" x14ac:dyDescent="0.25">
      <c r="A70" s="12" t="str">
        <f t="shared" si="4"/>
        <v/>
      </c>
      <c r="B70" s="12"/>
      <c r="C70" s="12"/>
      <c r="D70" s="12"/>
      <c r="E70" s="12"/>
      <c r="F70" s="12"/>
      <c r="G70" s="12"/>
      <c r="H70" s="13" t="str">
        <f>IFERROR(INDEX('Master Pelanggaran'!$D$2:$D$73,MATCH(G70,'Master Pelanggaran'!$B$2:$B$73,0)),"")</f>
        <v/>
      </c>
      <c r="I70" s="12" t="str">
        <f>IFERROR(INDEX('Master Pelanggaran'!$C$2:$C$73,MATCH(G70,'Master Pelanggaran'!$B$2:$B$73,0)),"")</f>
        <v/>
      </c>
      <c r="J70" s="12" t="str">
        <f>IFERROR(INDEX('Master Pelanggaran'!$E$2:$E$73,MATCH(G70,'Master Pelanggaran'!$B$2:$B$73,0)),"")</f>
        <v/>
      </c>
      <c r="K70" s="12" t="str">
        <f>IF(C70="","",SUMIFS($J$5:J70,$C$5:C70,C70))</f>
        <v/>
      </c>
      <c r="L70" s="13" t="str">
        <f t="shared" si="5"/>
        <v/>
      </c>
      <c r="M70" s="12"/>
      <c r="N70" s="13"/>
    </row>
    <row r="71" spans="1:14" x14ac:dyDescent="0.25">
      <c r="A71" s="12" t="str">
        <f t="shared" si="4"/>
        <v/>
      </c>
      <c r="B71" s="12"/>
      <c r="C71" s="12"/>
      <c r="D71" s="12"/>
      <c r="E71" s="12"/>
      <c r="F71" s="12"/>
      <c r="G71" s="12"/>
      <c r="H71" s="13" t="str">
        <f>IFERROR(INDEX('Master Pelanggaran'!$D$2:$D$73,MATCH(G71,'Master Pelanggaran'!$B$2:$B$73,0)),"")</f>
        <v/>
      </c>
      <c r="I71" s="12" t="str">
        <f>IFERROR(INDEX('Master Pelanggaran'!$C$2:$C$73,MATCH(G71,'Master Pelanggaran'!$B$2:$B$73,0)),"")</f>
        <v/>
      </c>
      <c r="J71" s="12" t="str">
        <f>IFERROR(INDEX('Master Pelanggaran'!$E$2:$E$73,MATCH(G71,'Master Pelanggaran'!$B$2:$B$73,0)),"")</f>
        <v/>
      </c>
      <c r="K71" s="12" t="str">
        <f>IF(C71="","",SUMIFS($J$5:J71,$C$5:C71,C71))</f>
        <v/>
      </c>
      <c r="L71" s="13" t="str">
        <f t="shared" si="5"/>
        <v/>
      </c>
      <c r="M71" s="12"/>
      <c r="N71" s="13"/>
    </row>
    <row r="72" spans="1:14" x14ac:dyDescent="0.25">
      <c r="A72" s="12" t="str">
        <f t="shared" si="4"/>
        <v/>
      </c>
      <c r="B72" s="12"/>
      <c r="C72" s="12"/>
      <c r="D72" s="12"/>
      <c r="E72" s="12"/>
      <c r="F72" s="12"/>
      <c r="G72" s="12"/>
      <c r="H72" s="13" t="str">
        <f>IFERROR(INDEX('Master Pelanggaran'!$D$2:$D$73,MATCH(G72,'Master Pelanggaran'!$B$2:$B$73,0)),"")</f>
        <v/>
      </c>
      <c r="I72" s="12" t="str">
        <f>IFERROR(INDEX('Master Pelanggaran'!$C$2:$C$73,MATCH(G72,'Master Pelanggaran'!$B$2:$B$73,0)),"")</f>
        <v/>
      </c>
      <c r="J72" s="12" t="str">
        <f>IFERROR(INDEX('Master Pelanggaran'!$E$2:$E$73,MATCH(G72,'Master Pelanggaran'!$B$2:$B$73,0)),"")</f>
        <v/>
      </c>
      <c r="K72" s="12" t="str">
        <f>IF(C72="","",SUMIFS($J$5:J72,$C$5:C72,C72))</f>
        <v/>
      </c>
      <c r="L72" s="13" t="str">
        <f t="shared" si="5"/>
        <v/>
      </c>
      <c r="M72" s="12"/>
      <c r="N72" s="13"/>
    </row>
    <row r="73" spans="1:14" x14ac:dyDescent="0.25">
      <c r="A73" s="12" t="str">
        <f t="shared" si="4"/>
        <v/>
      </c>
      <c r="B73" s="12"/>
      <c r="C73" s="12"/>
      <c r="D73" s="12"/>
      <c r="E73" s="12"/>
      <c r="F73" s="12"/>
      <c r="G73" s="12"/>
      <c r="H73" s="13" t="str">
        <f>IFERROR(INDEX('Master Pelanggaran'!$D$2:$D$73,MATCH(G73,'Master Pelanggaran'!$B$2:$B$73,0)),"")</f>
        <v/>
      </c>
      <c r="I73" s="12" t="str">
        <f>IFERROR(INDEX('Master Pelanggaran'!$C$2:$C$73,MATCH(G73,'Master Pelanggaran'!$B$2:$B$73,0)),"")</f>
        <v/>
      </c>
      <c r="J73" s="12" t="str">
        <f>IFERROR(INDEX('Master Pelanggaran'!$E$2:$E$73,MATCH(G73,'Master Pelanggaran'!$B$2:$B$73,0)),"")</f>
        <v/>
      </c>
      <c r="K73" s="12" t="str">
        <f>IF(C73="","",SUMIFS($J$5:J73,$C$5:C73,C73))</f>
        <v/>
      </c>
      <c r="L73" s="13" t="str">
        <f t="shared" si="5"/>
        <v/>
      </c>
      <c r="M73" s="12"/>
      <c r="N73" s="13"/>
    </row>
    <row r="74" spans="1:14" x14ac:dyDescent="0.25">
      <c r="A74" s="12" t="str">
        <f t="shared" si="4"/>
        <v/>
      </c>
      <c r="B74" s="12"/>
      <c r="C74" s="12"/>
      <c r="D74" s="12"/>
      <c r="E74" s="12"/>
      <c r="F74" s="12"/>
      <c r="G74" s="12"/>
      <c r="H74" s="13" t="str">
        <f>IFERROR(INDEX('Master Pelanggaran'!$D$2:$D$73,MATCH(G74,'Master Pelanggaran'!$B$2:$B$73,0)),"")</f>
        <v/>
      </c>
      <c r="I74" s="12" t="str">
        <f>IFERROR(INDEX('Master Pelanggaran'!$C$2:$C$73,MATCH(G74,'Master Pelanggaran'!$B$2:$B$73,0)),"")</f>
        <v/>
      </c>
      <c r="J74" s="12" t="str">
        <f>IFERROR(INDEX('Master Pelanggaran'!$E$2:$E$73,MATCH(G74,'Master Pelanggaran'!$B$2:$B$73,0)),"")</f>
        <v/>
      </c>
      <c r="K74" s="12" t="str">
        <f>IF(C74="","",SUMIFS($J$5:J74,$C$5:C74,C74))</f>
        <v/>
      </c>
      <c r="L74" s="13" t="str">
        <f t="shared" si="5"/>
        <v/>
      </c>
      <c r="M74" s="12"/>
      <c r="N74" s="13"/>
    </row>
    <row r="75" spans="1:14" x14ac:dyDescent="0.25">
      <c r="A75" s="12" t="str">
        <f t="shared" si="4"/>
        <v/>
      </c>
      <c r="B75" s="12"/>
      <c r="C75" s="12"/>
      <c r="D75" s="12"/>
      <c r="E75" s="12"/>
      <c r="F75" s="12"/>
      <c r="G75" s="12"/>
      <c r="H75" s="13" t="str">
        <f>IFERROR(INDEX('Master Pelanggaran'!$D$2:$D$73,MATCH(G75,'Master Pelanggaran'!$B$2:$B$73,0)),"")</f>
        <v/>
      </c>
      <c r="I75" s="12" t="str">
        <f>IFERROR(INDEX('Master Pelanggaran'!$C$2:$C$73,MATCH(G75,'Master Pelanggaran'!$B$2:$B$73,0)),"")</f>
        <v/>
      </c>
      <c r="J75" s="12" t="str">
        <f>IFERROR(INDEX('Master Pelanggaran'!$E$2:$E$73,MATCH(G75,'Master Pelanggaran'!$B$2:$B$73,0)),"")</f>
        <v/>
      </c>
      <c r="K75" s="12" t="str">
        <f>IF(C75="","",SUMIFS($J$5:J75,$C$5:C75,C75))</f>
        <v/>
      </c>
      <c r="L75" s="13" t="str">
        <f t="shared" si="5"/>
        <v/>
      </c>
      <c r="M75" s="12"/>
      <c r="N75" s="13"/>
    </row>
    <row r="76" spans="1:14" x14ac:dyDescent="0.25">
      <c r="A76" s="12" t="str">
        <f t="shared" si="4"/>
        <v/>
      </c>
      <c r="B76" s="12"/>
      <c r="C76" s="12"/>
      <c r="D76" s="12"/>
      <c r="E76" s="12"/>
      <c r="F76" s="12"/>
      <c r="G76" s="12"/>
      <c r="H76" s="13" t="str">
        <f>IFERROR(INDEX('Master Pelanggaran'!$D$2:$D$73,MATCH(G76,'Master Pelanggaran'!$B$2:$B$73,0)),"")</f>
        <v/>
      </c>
      <c r="I76" s="12" t="str">
        <f>IFERROR(INDEX('Master Pelanggaran'!$C$2:$C$73,MATCH(G76,'Master Pelanggaran'!$B$2:$B$73,0)),"")</f>
        <v/>
      </c>
      <c r="J76" s="12" t="str">
        <f>IFERROR(INDEX('Master Pelanggaran'!$E$2:$E$73,MATCH(G76,'Master Pelanggaran'!$B$2:$B$73,0)),"")</f>
        <v/>
      </c>
      <c r="K76" s="12" t="str">
        <f>IF(C76="","",SUMIFS($J$5:J76,$C$5:C76,C76))</f>
        <v/>
      </c>
      <c r="L76" s="13" t="str">
        <f t="shared" si="5"/>
        <v/>
      </c>
      <c r="M76" s="12"/>
      <c r="N76" s="13"/>
    </row>
    <row r="77" spans="1:14" x14ac:dyDescent="0.25">
      <c r="A77" s="12" t="str">
        <f t="shared" si="4"/>
        <v/>
      </c>
      <c r="B77" s="12"/>
      <c r="C77" s="12"/>
      <c r="D77" s="12"/>
      <c r="E77" s="12"/>
      <c r="F77" s="12"/>
      <c r="G77" s="12"/>
      <c r="H77" s="13" t="str">
        <f>IFERROR(INDEX('Master Pelanggaran'!$D$2:$D$73,MATCH(G77,'Master Pelanggaran'!$B$2:$B$73,0)),"")</f>
        <v/>
      </c>
      <c r="I77" s="12" t="str">
        <f>IFERROR(INDEX('Master Pelanggaran'!$C$2:$C$73,MATCH(G77,'Master Pelanggaran'!$B$2:$B$73,0)),"")</f>
        <v/>
      </c>
      <c r="J77" s="12" t="str">
        <f>IFERROR(INDEX('Master Pelanggaran'!$E$2:$E$73,MATCH(G77,'Master Pelanggaran'!$B$2:$B$73,0)),"")</f>
        <v/>
      </c>
      <c r="K77" s="12" t="str">
        <f>IF(C77="","",SUMIFS($J$5:J77,$C$5:C77,C77))</f>
        <v/>
      </c>
      <c r="L77" s="13" t="str">
        <f t="shared" si="5"/>
        <v/>
      </c>
      <c r="M77" s="12"/>
      <c r="N77" s="13"/>
    </row>
    <row r="78" spans="1:14" x14ac:dyDescent="0.25">
      <c r="A78" s="12" t="str">
        <f t="shared" si="4"/>
        <v/>
      </c>
      <c r="B78" s="12"/>
      <c r="C78" s="12"/>
      <c r="D78" s="12"/>
      <c r="E78" s="12"/>
      <c r="F78" s="12"/>
      <c r="G78" s="12"/>
      <c r="H78" s="13" t="str">
        <f>IFERROR(INDEX('Master Pelanggaran'!$D$2:$D$73,MATCH(G78,'Master Pelanggaran'!$B$2:$B$73,0)),"")</f>
        <v/>
      </c>
      <c r="I78" s="12" t="str">
        <f>IFERROR(INDEX('Master Pelanggaran'!$C$2:$C$73,MATCH(G78,'Master Pelanggaran'!$B$2:$B$73,0)),"")</f>
        <v/>
      </c>
      <c r="J78" s="12" t="str">
        <f>IFERROR(INDEX('Master Pelanggaran'!$E$2:$E$73,MATCH(G78,'Master Pelanggaran'!$B$2:$B$73,0)),"")</f>
        <v/>
      </c>
      <c r="K78" s="12" t="str">
        <f>IF(C78="","",SUMIFS($J$5:J78,$C$5:C78,C78))</f>
        <v/>
      </c>
      <c r="L78" s="13" t="str">
        <f t="shared" si="5"/>
        <v/>
      </c>
      <c r="M78" s="12"/>
      <c r="N78" s="13"/>
    </row>
    <row r="79" spans="1:14" x14ac:dyDescent="0.25">
      <c r="A79" s="12" t="str">
        <f t="shared" si="4"/>
        <v/>
      </c>
      <c r="B79" s="12"/>
      <c r="C79" s="12"/>
      <c r="D79" s="12"/>
      <c r="E79" s="12"/>
      <c r="F79" s="12"/>
      <c r="G79" s="12"/>
      <c r="H79" s="13" t="str">
        <f>IFERROR(INDEX('Master Pelanggaran'!$D$2:$D$73,MATCH(G79,'Master Pelanggaran'!$B$2:$B$73,0)),"")</f>
        <v/>
      </c>
      <c r="I79" s="12" t="str">
        <f>IFERROR(INDEX('Master Pelanggaran'!$C$2:$C$73,MATCH(G79,'Master Pelanggaran'!$B$2:$B$73,0)),"")</f>
        <v/>
      </c>
      <c r="J79" s="12" t="str">
        <f>IFERROR(INDEX('Master Pelanggaran'!$E$2:$E$73,MATCH(G79,'Master Pelanggaran'!$B$2:$B$73,0)),"")</f>
        <v/>
      </c>
      <c r="K79" s="12" t="str">
        <f>IF(C79="","",SUMIFS($J$5:J79,$C$5:C79,C79))</f>
        <v/>
      </c>
      <c r="L79" s="13" t="str">
        <f t="shared" si="5"/>
        <v/>
      </c>
      <c r="M79" s="12"/>
      <c r="N79" s="13"/>
    </row>
    <row r="80" spans="1:14" x14ac:dyDescent="0.25">
      <c r="A80" s="12" t="str">
        <f t="shared" si="4"/>
        <v/>
      </c>
      <c r="B80" s="12"/>
      <c r="C80" s="12"/>
      <c r="D80" s="12"/>
      <c r="E80" s="12"/>
      <c r="F80" s="12"/>
      <c r="G80" s="12"/>
      <c r="H80" s="13" t="str">
        <f>IFERROR(INDEX('Master Pelanggaran'!$D$2:$D$73,MATCH(G80,'Master Pelanggaran'!$B$2:$B$73,0)),"")</f>
        <v/>
      </c>
      <c r="I80" s="12" t="str">
        <f>IFERROR(INDEX('Master Pelanggaran'!$C$2:$C$73,MATCH(G80,'Master Pelanggaran'!$B$2:$B$73,0)),"")</f>
        <v/>
      </c>
      <c r="J80" s="12" t="str">
        <f>IFERROR(INDEX('Master Pelanggaran'!$E$2:$E$73,MATCH(G80,'Master Pelanggaran'!$B$2:$B$73,0)),"")</f>
        <v/>
      </c>
      <c r="K80" s="12" t="str">
        <f>IF(C80="","",SUMIFS($J$5:J80,$C$5:C80,C80))</f>
        <v/>
      </c>
      <c r="L80" s="13" t="str">
        <f t="shared" si="5"/>
        <v/>
      </c>
      <c r="M80" s="12"/>
      <c r="N80" s="13"/>
    </row>
    <row r="81" spans="1:14" x14ac:dyDescent="0.25">
      <c r="A81" s="12" t="str">
        <f t="shared" si="4"/>
        <v/>
      </c>
      <c r="B81" s="12"/>
      <c r="C81" s="12"/>
      <c r="D81" s="12"/>
      <c r="E81" s="12"/>
      <c r="F81" s="12"/>
      <c r="G81" s="12"/>
      <c r="H81" s="13" t="str">
        <f>IFERROR(INDEX('Master Pelanggaran'!$D$2:$D$73,MATCH(G81,'Master Pelanggaran'!$B$2:$B$73,0)),"")</f>
        <v/>
      </c>
      <c r="I81" s="12" t="str">
        <f>IFERROR(INDEX('Master Pelanggaran'!$C$2:$C$73,MATCH(G81,'Master Pelanggaran'!$B$2:$B$73,0)),"")</f>
        <v/>
      </c>
      <c r="J81" s="12" t="str">
        <f>IFERROR(INDEX('Master Pelanggaran'!$E$2:$E$73,MATCH(G81,'Master Pelanggaran'!$B$2:$B$73,0)),"")</f>
        <v/>
      </c>
      <c r="K81" s="12" t="str">
        <f>IF(C81="","",SUMIFS($J$5:J81,$C$5:C81,C81))</f>
        <v/>
      </c>
      <c r="L81" s="13" t="str">
        <f t="shared" si="5"/>
        <v/>
      </c>
      <c r="M81" s="12"/>
      <c r="N81" s="13"/>
    </row>
    <row r="82" spans="1:14" x14ac:dyDescent="0.25">
      <c r="A82" s="12" t="str">
        <f t="shared" si="4"/>
        <v/>
      </c>
      <c r="B82" s="12"/>
      <c r="C82" s="12"/>
      <c r="D82" s="12"/>
      <c r="E82" s="12"/>
      <c r="F82" s="12"/>
      <c r="G82" s="12"/>
      <c r="H82" s="13" t="str">
        <f>IFERROR(INDEX('Master Pelanggaran'!$D$2:$D$73,MATCH(G82,'Master Pelanggaran'!$B$2:$B$73,0)),"")</f>
        <v/>
      </c>
      <c r="I82" s="12" t="str">
        <f>IFERROR(INDEX('Master Pelanggaran'!$C$2:$C$73,MATCH(G82,'Master Pelanggaran'!$B$2:$B$73,0)),"")</f>
        <v/>
      </c>
      <c r="J82" s="12" t="str">
        <f>IFERROR(INDEX('Master Pelanggaran'!$E$2:$E$73,MATCH(G82,'Master Pelanggaran'!$B$2:$B$73,0)),"")</f>
        <v/>
      </c>
      <c r="K82" s="12" t="str">
        <f>IF(C82="","",SUMIFS($J$5:J82,$C$5:C82,C82))</f>
        <v/>
      </c>
      <c r="L82" s="13" t="str">
        <f t="shared" si="5"/>
        <v/>
      </c>
      <c r="M82" s="12"/>
      <c r="N82" s="13"/>
    </row>
    <row r="83" spans="1:14" x14ac:dyDescent="0.25">
      <c r="A83" s="12" t="str">
        <f t="shared" si="4"/>
        <v/>
      </c>
      <c r="B83" s="12"/>
      <c r="C83" s="12"/>
      <c r="D83" s="12"/>
      <c r="E83" s="12"/>
      <c r="F83" s="12"/>
      <c r="G83" s="12"/>
      <c r="H83" s="13" t="str">
        <f>IFERROR(INDEX('Master Pelanggaran'!$D$2:$D$73,MATCH(G83,'Master Pelanggaran'!$B$2:$B$73,0)),"")</f>
        <v/>
      </c>
      <c r="I83" s="12" t="str">
        <f>IFERROR(INDEX('Master Pelanggaran'!$C$2:$C$73,MATCH(G83,'Master Pelanggaran'!$B$2:$B$73,0)),"")</f>
        <v/>
      </c>
      <c r="J83" s="12" t="str">
        <f>IFERROR(INDEX('Master Pelanggaran'!$E$2:$E$73,MATCH(G83,'Master Pelanggaran'!$B$2:$B$73,0)),"")</f>
        <v/>
      </c>
      <c r="K83" s="12" t="str">
        <f>IF(C83="","",SUMIFS($J$5:J83,$C$5:C83,C83))</f>
        <v/>
      </c>
      <c r="L83" s="13" t="str">
        <f t="shared" si="5"/>
        <v/>
      </c>
      <c r="M83" s="12"/>
      <c r="N83" s="13"/>
    </row>
    <row r="84" spans="1:14" x14ac:dyDescent="0.25">
      <c r="A84" s="12" t="str">
        <f t="shared" si="4"/>
        <v/>
      </c>
      <c r="B84" s="12"/>
      <c r="C84" s="12"/>
      <c r="D84" s="12"/>
      <c r="E84" s="12"/>
      <c r="F84" s="12"/>
      <c r="G84" s="12"/>
      <c r="H84" s="13" t="str">
        <f>IFERROR(INDEX('Master Pelanggaran'!$D$2:$D$73,MATCH(G84,'Master Pelanggaran'!$B$2:$B$73,0)),"")</f>
        <v/>
      </c>
      <c r="I84" s="12" t="str">
        <f>IFERROR(INDEX('Master Pelanggaran'!$C$2:$C$73,MATCH(G84,'Master Pelanggaran'!$B$2:$B$73,0)),"")</f>
        <v/>
      </c>
      <c r="J84" s="12" t="str">
        <f>IFERROR(INDEX('Master Pelanggaran'!$E$2:$E$73,MATCH(G84,'Master Pelanggaran'!$B$2:$B$73,0)),"")</f>
        <v/>
      </c>
      <c r="K84" s="12" t="str">
        <f>IF(C84="","",SUMIFS($J$5:J84,$C$5:C84,C84))</f>
        <v/>
      </c>
      <c r="L84" s="13" t="str">
        <f t="shared" si="5"/>
        <v/>
      </c>
      <c r="M84" s="12"/>
      <c r="N84" s="13"/>
    </row>
    <row r="85" spans="1:14" x14ac:dyDescent="0.25">
      <c r="A85" s="12" t="str">
        <f t="shared" si="4"/>
        <v/>
      </c>
      <c r="B85" s="12"/>
      <c r="C85" s="12"/>
      <c r="D85" s="12"/>
      <c r="E85" s="12"/>
      <c r="F85" s="12"/>
      <c r="G85" s="12"/>
      <c r="H85" s="13" t="str">
        <f>IFERROR(INDEX('Master Pelanggaran'!$D$2:$D$73,MATCH(G85,'Master Pelanggaran'!$B$2:$B$73,0)),"")</f>
        <v/>
      </c>
      <c r="I85" s="12" t="str">
        <f>IFERROR(INDEX('Master Pelanggaran'!$C$2:$C$73,MATCH(G85,'Master Pelanggaran'!$B$2:$B$73,0)),"")</f>
        <v/>
      </c>
      <c r="J85" s="12" t="str">
        <f>IFERROR(INDEX('Master Pelanggaran'!$E$2:$E$73,MATCH(G85,'Master Pelanggaran'!$B$2:$B$73,0)),"")</f>
        <v/>
      </c>
      <c r="K85" s="12" t="str">
        <f>IF(C85="","",SUMIFS($J$5:J85,$C$5:C85,C85))</f>
        <v/>
      </c>
      <c r="L85" s="13" t="str">
        <f t="shared" si="5"/>
        <v/>
      </c>
      <c r="M85" s="12"/>
      <c r="N85" s="13"/>
    </row>
    <row r="86" spans="1:14" x14ac:dyDescent="0.25">
      <c r="A86" s="12" t="str">
        <f t="shared" si="4"/>
        <v/>
      </c>
      <c r="B86" s="12"/>
      <c r="C86" s="12"/>
      <c r="D86" s="12"/>
      <c r="E86" s="12"/>
      <c r="F86" s="12"/>
      <c r="G86" s="12"/>
      <c r="H86" s="13" t="str">
        <f>IFERROR(INDEX('Master Pelanggaran'!$D$2:$D$73,MATCH(G86,'Master Pelanggaran'!$B$2:$B$73,0)),"")</f>
        <v/>
      </c>
      <c r="I86" s="12" t="str">
        <f>IFERROR(INDEX('Master Pelanggaran'!$C$2:$C$73,MATCH(G86,'Master Pelanggaran'!$B$2:$B$73,0)),"")</f>
        <v/>
      </c>
      <c r="J86" s="12" t="str">
        <f>IFERROR(INDEX('Master Pelanggaran'!$E$2:$E$73,MATCH(G86,'Master Pelanggaran'!$B$2:$B$73,0)),"")</f>
        <v/>
      </c>
      <c r="K86" s="12" t="str">
        <f>IF(C86="","",SUMIFS($J$5:J86,$C$5:C86,C86))</f>
        <v/>
      </c>
      <c r="L86" s="13" t="str">
        <f t="shared" si="5"/>
        <v/>
      </c>
      <c r="M86" s="12"/>
      <c r="N86" s="13"/>
    </row>
    <row r="87" spans="1:14" x14ac:dyDescent="0.25">
      <c r="A87" s="12" t="str">
        <f t="shared" si="4"/>
        <v/>
      </c>
      <c r="B87" s="12"/>
      <c r="C87" s="12"/>
      <c r="D87" s="12"/>
      <c r="E87" s="12"/>
      <c r="F87" s="12"/>
      <c r="G87" s="12"/>
      <c r="H87" s="13" t="str">
        <f>IFERROR(INDEX('Master Pelanggaran'!$D$2:$D$73,MATCH(G87,'Master Pelanggaran'!$B$2:$B$73,0)),"")</f>
        <v/>
      </c>
      <c r="I87" s="12" t="str">
        <f>IFERROR(INDEX('Master Pelanggaran'!$C$2:$C$73,MATCH(G87,'Master Pelanggaran'!$B$2:$B$73,0)),"")</f>
        <v/>
      </c>
      <c r="J87" s="12" t="str">
        <f>IFERROR(INDEX('Master Pelanggaran'!$E$2:$E$73,MATCH(G87,'Master Pelanggaran'!$B$2:$B$73,0)),"")</f>
        <v/>
      </c>
      <c r="K87" s="12" t="str">
        <f>IF(C87="","",SUMIFS($J$5:J87,$C$5:C87,C87))</f>
        <v/>
      </c>
      <c r="L87" s="13" t="str">
        <f t="shared" si="5"/>
        <v/>
      </c>
      <c r="M87" s="12"/>
      <c r="N87" s="13"/>
    </row>
    <row r="88" spans="1:14" x14ac:dyDescent="0.25">
      <c r="A88" s="12" t="str">
        <f t="shared" si="4"/>
        <v/>
      </c>
      <c r="B88" s="12"/>
      <c r="C88" s="12"/>
      <c r="D88" s="12"/>
      <c r="E88" s="12"/>
      <c r="F88" s="12"/>
      <c r="G88" s="12"/>
      <c r="H88" s="13" t="str">
        <f>IFERROR(INDEX('Master Pelanggaran'!$D$2:$D$73,MATCH(G88,'Master Pelanggaran'!$B$2:$B$73,0)),"")</f>
        <v/>
      </c>
      <c r="I88" s="12" t="str">
        <f>IFERROR(INDEX('Master Pelanggaran'!$C$2:$C$73,MATCH(G88,'Master Pelanggaran'!$B$2:$B$73,0)),"")</f>
        <v/>
      </c>
      <c r="J88" s="12" t="str">
        <f>IFERROR(INDEX('Master Pelanggaran'!$E$2:$E$73,MATCH(G88,'Master Pelanggaran'!$B$2:$B$73,0)),"")</f>
        <v/>
      </c>
      <c r="K88" s="12" t="str">
        <f>IF(C88="","",SUMIFS($J$5:J88,$C$5:C88,C88))</f>
        <v/>
      </c>
      <c r="L88" s="13" t="str">
        <f t="shared" si="5"/>
        <v/>
      </c>
      <c r="M88" s="12"/>
      <c r="N88" s="13"/>
    </row>
    <row r="89" spans="1:14" x14ac:dyDescent="0.25">
      <c r="A89" s="12" t="str">
        <f t="shared" si="4"/>
        <v/>
      </c>
      <c r="B89" s="12"/>
      <c r="C89" s="12"/>
      <c r="D89" s="12"/>
      <c r="E89" s="12"/>
      <c r="F89" s="12"/>
      <c r="G89" s="12"/>
      <c r="H89" s="13" t="str">
        <f>IFERROR(INDEX('Master Pelanggaran'!$D$2:$D$73,MATCH(G89,'Master Pelanggaran'!$B$2:$B$73,0)),"")</f>
        <v/>
      </c>
      <c r="I89" s="12" t="str">
        <f>IFERROR(INDEX('Master Pelanggaran'!$C$2:$C$73,MATCH(G89,'Master Pelanggaran'!$B$2:$B$73,0)),"")</f>
        <v/>
      </c>
      <c r="J89" s="12" t="str">
        <f>IFERROR(INDEX('Master Pelanggaran'!$E$2:$E$73,MATCH(G89,'Master Pelanggaran'!$B$2:$B$73,0)),"")</f>
        <v/>
      </c>
      <c r="K89" s="12" t="str">
        <f>IF(C89="","",SUMIFS($J$5:J89,$C$5:C89,C89))</f>
        <v/>
      </c>
      <c r="L89" s="13" t="str">
        <f t="shared" si="5"/>
        <v/>
      </c>
      <c r="M89" s="12"/>
      <c r="N89" s="13"/>
    </row>
    <row r="90" spans="1:14" x14ac:dyDescent="0.25">
      <c r="A90" s="12" t="str">
        <f t="shared" si="4"/>
        <v/>
      </c>
      <c r="B90" s="12"/>
      <c r="C90" s="12"/>
      <c r="D90" s="12"/>
      <c r="E90" s="12"/>
      <c r="F90" s="12"/>
      <c r="G90" s="12"/>
      <c r="H90" s="13" t="str">
        <f>IFERROR(INDEX('Master Pelanggaran'!$D$2:$D$73,MATCH(G90,'Master Pelanggaran'!$B$2:$B$73,0)),"")</f>
        <v/>
      </c>
      <c r="I90" s="12" t="str">
        <f>IFERROR(INDEX('Master Pelanggaran'!$C$2:$C$73,MATCH(G90,'Master Pelanggaran'!$B$2:$B$73,0)),"")</f>
        <v/>
      </c>
      <c r="J90" s="12" t="str">
        <f>IFERROR(INDEX('Master Pelanggaran'!$E$2:$E$73,MATCH(G90,'Master Pelanggaran'!$B$2:$B$73,0)),"")</f>
        <v/>
      </c>
      <c r="K90" s="12" t="str">
        <f>IF(C90="","",SUMIFS($J$5:J90,$C$5:C90,C90))</f>
        <v/>
      </c>
      <c r="L90" s="13" t="str">
        <f t="shared" si="5"/>
        <v/>
      </c>
      <c r="M90" s="12"/>
      <c r="N90" s="13"/>
    </row>
    <row r="91" spans="1:14" x14ac:dyDescent="0.25">
      <c r="A91" s="12" t="str">
        <f t="shared" si="4"/>
        <v/>
      </c>
      <c r="B91" s="12"/>
      <c r="C91" s="12"/>
      <c r="D91" s="12"/>
      <c r="E91" s="12"/>
      <c r="F91" s="12"/>
      <c r="G91" s="12"/>
      <c r="H91" s="13" t="str">
        <f>IFERROR(INDEX('Master Pelanggaran'!$D$2:$D$73,MATCH(G91,'Master Pelanggaran'!$B$2:$B$73,0)),"")</f>
        <v/>
      </c>
      <c r="I91" s="12" t="str">
        <f>IFERROR(INDEX('Master Pelanggaran'!$C$2:$C$73,MATCH(G91,'Master Pelanggaran'!$B$2:$B$73,0)),"")</f>
        <v/>
      </c>
      <c r="J91" s="12" t="str">
        <f>IFERROR(INDEX('Master Pelanggaran'!$E$2:$E$73,MATCH(G91,'Master Pelanggaran'!$B$2:$B$73,0)),"")</f>
        <v/>
      </c>
      <c r="K91" s="12" t="str">
        <f>IF(C91="","",SUMIFS($J$5:J91,$C$5:C91,C91))</f>
        <v/>
      </c>
      <c r="L91" s="13" t="str">
        <f t="shared" si="5"/>
        <v/>
      </c>
      <c r="M91" s="12"/>
      <c r="N91" s="13"/>
    </row>
    <row r="92" spans="1:14" x14ac:dyDescent="0.25">
      <c r="A92" s="12" t="str">
        <f t="shared" si="4"/>
        <v/>
      </c>
      <c r="B92" s="12"/>
      <c r="C92" s="12"/>
      <c r="D92" s="12"/>
      <c r="E92" s="12"/>
      <c r="F92" s="12"/>
      <c r="G92" s="12"/>
      <c r="H92" s="13" t="str">
        <f>IFERROR(INDEX('Master Pelanggaran'!$D$2:$D$73,MATCH(G92,'Master Pelanggaran'!$B$2:$B$73,0)),"")</f>
        <v/>
      </c>
      <c r="I92" s="12" t="str">
        <f>IFERROR(INDEX('Master Pelanggaran'!$C$2:$C$73,MATCH(G92,'Master Pelanggaran'!$B$2:$B$73,0)),"")</f>
        <v/>
      </c>
      <c r="J92" s="12" t="str">
        <f>IFERROR(INDEX('Master Pelanggaran'!$E$2:$E$73,MATCH(G92,'Master Pelanggaran'!$B$2:$B$73,0)),"")</f>
        <v/>
      </c>
      <c r="K92" s="12" t="str">
        <f>IF(C92="","",SUMIFS($J$5:J92,$C$5:C92,C92))</f>
        <v/>
      </c>
      <c r="L92" s="13" t="str">
        <f t="shared" si="5"/>
        <v/>
      </c>
      <c r="M92" s="12"/>
      <c r="N92" s="13"/>
    </row>
    <row r="93" spans="1:14" x14ac:dyDescent="0.25">
      <c r="A93" s="12" t="str">
        <f t="shared" si="4"/>
        <v/>
      </c>
      <c r="B93" s="12"/>
      <c r="C93" s="12"/>
      <c r="D93" s="12"/>
      <c r="E93" s="12"/>
      <c r="F93" s="12"/>
      <c r="G93" s="12"/>
      <c r="H93" s="13" t="str">
        <f>IFERROR(INDEX('Master Pelanggaran'!$D$2:$D$73,MATCH(G93,'Master Pelanggaran'!$B$2:$B$73,0)),"")</f>
        <v/>
      </c>
      <c r="I93" s="12" t="str">
        <f>IFERROR(INDEX('Master Pelanggaran'!$C$2:$C$73,MATCH(G93,'Master Pelanggaran'!$B$2:$B$73,0)),"")</f>
        <v/>
      </c>
      <c r="J93" s="12" t="str">
        <f>IFERROR(INDEX('Master Pelanggaran'!$E$2:$E$73,MATCH(G93,'Master Pelanggaran'!$B$2:$B$73,0)),"")</f>
        <v/>
      </c>
      <c r="K93" s="12" t="str">
        <f>IF(C93="","",SUMIFS($J$5:J93,$C$5:C93,C93))</f>
        <v/>
      </c>
      <c r="L93" s="13" t="str">
        <f t="shared" si="5"/>
        <v/>
      </c>
      <c r="M93" s="12"/>
      <c r="N93" s="13"/>
    </row>
    <row r="94" spans="1:14" x14ac:dyDescent="0.25">
      <c r="A94" s="12" t="str">
        <f t="shared" si="4"/>
        <v/>
      </c>
      <c r="B94" s="12"/>
      <c r="C94" s="12"/>
      <c r="D94" s="12"/>
      <c r="E94" s="12"/>
      <c r="F94" s="12"/>
      <c r="G94" s="12"/>
      <c r="H94" s="13" t="str">
        <f>IFERROR(INDEX('Master Pelanggaran'!$D$2:$D$73,MATCH(G94,'Master Pelanggaran'!$B$2:$B$73,0)),"")</f>
        <v/>
      </c>
      <c r="I94" s="12" t="str">
        <f>IFERROR(INDEX('Master Pelanggaran'!$C$2:$C$73,MATCH(G94,'Master Pelanggaran'!$B$2:$B$73,0)),"")</f>
        <v/>
      </c>
      <c r="J94" s="12" t="str">
        <f>IFERROR(INDEX('Master Pelanggaran'!$E$2:$E$73,MATCH(G94,'Master Pelanggaran'!$B$2:$B$73,0)),"")</f>
        <v/>
      </c>
      <c r="K94" s="12" t="str">
        <f>IF(C94="","",SUMIFS($J$5:J94,$C$5:C94,C94))</f>
        <v/>
      </c>
      <c r="L94" s="13" t="str">
        <f t="shared" si="5"/>
        <v/>
      </c>
      <c r="M94" s="12"/>
      <c r="N94" s="13"/>
    </row>
    <row r="95" spans="1:14" x14ac:dyDescent="0.25">
      <c r="A95" s="12" t="str">
        <f t="shared" si="4"/>
        <v/>
      </c>
      <c r="B95" s="12"/>
      <c r="C95" s="12"/>
      <c r="D95" s="12"/>
      <c r="E95" s="12"/>
      <c r="F95" s="12"/>
      <c r="G95" s="12"/>
      <c r="H95" s="13" t="str">
        <f>IFERROR(INDEX('Master Pelanggaran'!$D$2:$D$73,MATCH(G95,'Master Pelanggaran'!$B$2:$B$73,0)),"")</f>
        <v/>
      </c>
      <c r="I95" s="12" t="str">
        <f>IFERROR(INDEX('Master Pelanggaran'!$C$2:$C$73,MATCH(G95,'Master Pelanggaran'!$B$2:$B$73,0)),"")</f>
        <v/>
      </c>
      <c r="J95" s="12" t="str">
        <f>IFERROR(INDEX('Master Pelanggaran'!$E$2:$E$73,MATCH(G95,'Master Pelanggaran'!$B$2:$B$73,0)),"")</f>
        <v/>
      </c>
      <c r="K95" s="12" t="str">
        <f>IF(C95="","",SUMIFS($J$5:J95,$C$5:C95,C95))</f>
        <v/>
      </c>
      <c r="L95" s="13" t="str">
        <f t="shared" si="5"/>
        <v/>
      </c>
      <c r="M95" s="12"/>
      <c r="N95" s="13"/>
    </row>
    <row r="96" spans="1:14" x14ac:dyDescent="0.25">
      <c r="A96" s="12" t="str">
        <f t="shared" si="4"/>
        <v/>
      </c>
      <c r="B96" s="12"/>
      <c r="C96" s="12"/>
      <c r="D96" s="12"/>
      <c r="E96" s="12"/>
      <c r="F96" s="12"/>
      <c r="G96" s="12"/>
      <c r="H96" s="13" t="str">
        <f>IFERROR(INDEX('Master Pelanggaran'!$D$2:$D$73,MATCH(G96,'Master Pelanggaran'!$B$2:$B$73,0)),"")</f>
        <v/>
      </c>
      <c r="I96" s="12" t="str">
        <f>IFERROR(INDEX('Master Pelanggaran'!$C$2:$C$73,MATCH(G96,'Master Pelanggaran'!$B$2:$B$73,0)),"")</f>
        <v/>
      </c>
      <c r="J96" s="12" t="str">
        <f>IFERROR(INDEX('Master Pelanggaran'!$E$2:$E$73,MATCH(G96,'Master Pelanggaran'!$B$2:$B$73,0)),"")</f>
        <v/>
      </c>
      <c r="K96" s="12" t="str">
        <f>IF(C96="","",SUMIFS($J$5:J96,$C$5:C96,C96))</f>
        <v/>
      </c>
      <c r="L96" s="13" t="str">
        <f t="shared" si="5"/>
        <v/>
      </c>
      <c r="M96" s="12"/>
      <c r="N96" s="13"/>
    </row>
    <row r="97" spans="1:14" x14ac:dyDescent="0.25">
      <c r="A97" s="12" t="str">
        <f t="shared" si="4"/>
        <v/>
      </c>
      <c r="B97" s="12"/>
      <c r="C97" s="12"/>
      <c r="D97" s="12"/>
      <c r="E97" s="12"/>
      <c r="F97" s="12"/>
      <c r="G97" s="12"/>
      <c r="H97" s="13" t="str">
        <f>IFERROR(INDEX('Master Pelanggaran'!$D$2:$D$73,MATCH(G97,'Master Pelanggaran'!$B$2:$B$73,0)),"")</f>
        <v/>
      </c>
      <c r="I97" s="12" t="str">
        <f>IFERROR(INDEX('Master Pelanggaran'!$C$2:$C$73,MATCH(G97,'Master Pelanggaran'!$B$2:$B$73,0)),"")</f>
        <v/>
      </c>
      <c r="J97" s="12" t="str">
        <f>IFERROR(INDEX('Master Pelanggaran'!$E$2:$E$73,MATCH(G97,'Master Pelanggaran'!$B$2:$B$73,0)),"")</f>
        <v/>
      </c>
      <c r="K97" s="12" t="str">
        <f>IF(C97="","",SUMIFS($J$5:J97,$C$5:C97,C97))</f>
        <v/>
      </c>
      <c r="L97" s="13" t="str">
        <f t="shared" si="5"/>
        <v/>
      </c>
      <c r="M97" s="12"/>
      <c r="N97" s="13"/>
    </row>
    <row r="98" spans="1:14" x14ac:dyDescent="0.25">
      <c r="A98" s="12" t="str">
        <f t="shared" si="4"/>
        <v/>
      </c>
      <c r="B98" s="12"/>
      <c r="C98" s="12"/>
      <c r="D98" s="12"/>
      <c r="E98" s="12"/>
      <c r="F98" s="12"/>
      <c r="G98" s="12"/>
      <c r="H98" s="13" t="str">
        <f>IFERROR(INDEX('Master Pelanggaran'!$D$2:$D$73,MATCH(G98,'Master Pelanggaran'!$B$2:$B$73,0)),"")</f>
        <v/>
      </c>
      <c r="I98" s="12" t="str">
        <f>IFERROR(INDEX('Master Pelanggaran'!$C$2:$C$73,MATCH(G98,'Master Pelanggaran'!$B$2:$B$73,0)),"")</f>
        <v/>
      </c>
      <c r="J98" s="12" t="str">
        <f>IFERROR(INDEX('Master Pelanggaran'!$E$2:$E$73,MATCH(G98,'Master Pelanggaran'!$B$2:$B$73,0)),"")</f>
        <v/>
      </c>
      <c r="K98" s="12" t="str">
        <f>IF(C98="","",SUMIFS($J$5:J98,$C$5:C98,C98))</f>
        <v/>
      </c>
      <c r="L98" s="13" t="str">
        <f t="shared" si="5"/>
        <v/>
      </c>
      <c r="M98" s="12"/>
      <c r="N98" s="13"/>
    </row>
    <row r="99" spans="1:14" x14ac:dyDescent="0.25">
      <c r="A99" s="12" t="str">
        <f t="shared" si="4"/>
        <v/>
      </c>
      <c r="B99" s="12"/>
      <c r="C99" s="12"/>
      <c r="D99" s="12"/>
      <c r="E99" s="12"/>
      <c r="F99" s="12"/>
      <c r="G99" s="12"/>
      <c r="H99" s="13" t="str">
        <f>IFERROR(INDEX('Master Pelanggaran'!$D$2:$D$73,MATCH(G99,'Master Pelanggaran'!$B$2:$B$73,0)),"")</f>
        <v/>
      </c>
      <c r="I99" s="12" t="str">
        <f>IFERROR(INDEX('Master Pelanggaran'!$C$2:$C$73,MATCH(G99,'Master Pelanggaran'!$B$2:$B$73,0)),"")</f>
        <v/>
      </c>
      <c r="J99" s="12" t="str">
        <f>IFERROR(INDEX('Master Pelanggaran'!$E$2:$E$73,MATCH(G99,'Master Pelanggaran'!$B$2:$B$73,0)),"")</f>
        <v/>
      </c>
      <c r="K99" s="12" t="str">
        <f>IF(C99="","",SUMIFS($J$5:J99,$C$5:C99,C99))</f>
        <v/>
      </c>
      <c r="L99" s="13" t="str">
        <f t="shared" si="5"/>
        <v/>
      </c>
      <c r="M99" s="12"/>
      <c r="N99" s="13"/>
    </row>
    <row r="100" spans="1:14" x14ac:dyDescent="0.25">
      <c r="A100" s="12" t="str">
        <f t="shared" si="4"/>
        <v/>
      </c>
      <c r="B100" s="12"/>
      <c r="C100" s="12"/>
      <c r="D100" s="12"/>
      <c r="E100" s="12"/>
      <c r="F100" s="12"/>
      <c r="G100" s="12"/>
      <c r="H100" s="13" t="str">
        <f>IFERROR(INDEX('Master Pelanggaran'!$D$2:$D$73,MATCH(G100,'Master Pelanggaran'!$B$2:$B$73,0)),"")</f>
        <v/>
      </c>
      <c r="I100" s="12" t="str">
        <f>IFERROR(INDEX('Master Pelanggaran'!$C$2:$C$73,MATCH(G100,'Master Pelanggaran'!$B$2:$B$73,0)),"")</f>
        <v/>
      </c>
      <c r="J100" s="12" t="str">
        <f>IFERROR(INDEX('Master Pelanggaran'!$E$2:$E$73,MATCH(G100,'Master Pelanggaran'!$B$2:$B$73,0)),"")</f>
        <v/>
      </c>
      <c r="K100" s="12" t="str">
        <f>IF(C100="","",SUMIFS($J$5:J100,$C$5:C100,C100))</f>
        <v/>
      </c>
      <c r="L100" s="13" t="str">
        <f t="shared" si="5"/>
        <v/>
      </c>
      <c r="M100" s="12"/>
      <c r="N100" s="13"/>
    </row>
    <row r="101" spans="1:14" x14ac:dyDescent="0.25">
      <c r="A101" s="12" t="str">
        <f t="shared" ref="A101:A132" si="6">IF(C101="","",ROW()-4)</f>
        <v/>
      </c>
      <c r="B101" s="12"/>
      <c r="C101" s="12"/>
      <c r="D101" s="12"/>
      <c r="E101" s="12"/>
      <c r="F101" s="12"/>
      <c r="G101" s="12"/>
      <c r="H101" s="13" t="str">
        <f>IFERROR(INDEX('Master Pelanggaran'!$D$2:$D$73,MATCH(G101,'Master Pelanggaran'!$B$2:$B$73,0)),"")</f>
        <v/>
      </c>
      <c r="I101" s="12" t="str">
        <f>IFERROR(INDEX('Master Pelanggaran'!$C$2:$C$73,MATCH(G101,'Master Pelanggaran'!$B$2:$B$73,0)),"")</f>
        <v/>
      </c>
      <c r="J101" s="12" t="str">
        <f>IFERROR(INDEX('Master Pelanggaran'!$E$2:$E$73,MATCH(G101,'Master Pelanggaran'!$B$2:$B$73,0)),"")</f>
        <v/>
      </c>
      <c r="K101" s="12" t="str">
        <f>IF(C101="","",SUMIFS($J$5:J101,$C$5:C101,C101))</f>
        <v/>
      </c>
      <c r="L101" s="13" t="str">
        <f t="shared" ref="L101:L132" si="7">IF(K101="","",IF(K101&gt;=100,"Dikembalikan ke orang tua",IF(K101&gt;=75,"Pemanggilan ortu (perjanjian); Pendampingan ahli; Wajib lapor shalat jama'ah; Larangan keluar 3 bulan",IF(K101&gt;=51,"Pemanggilan ortu (pernyataan); Digundul; Wajib lapor shalat 30 hari; Menghafal/menulis surat pilihan",IF(K101&gt;=35,"Pemanggilan ortu (peringatan); Digundul/jilbab pembinaan; Menghafal Juz 30/surat pilihan",IF(K101&gt;=21,"Pemberitahuan orang tua; Roan","Roan (Pembinaan)"))))))</f>
        <v/>
      </c>
      <c r="M101" s="12"/>
      <c r="N101" s="13"/>
    </row>
    <row r="102" spans="1:14" x14ac:dyDescent="0.25">
      <c r="A102" s="12" t="str">
        <f t="shared" si="6"/>
        <v/>
      </c>
      <c r="B102" s="12"/>
      <c r="C102" s="12"/>
      <c r="D102" s="12"/>
      <c r="E102" s="12"/>
      <c r="F102" s="12"/>
      <c r="G102" s="12"/>
      <c r="H102" s="13" t="str">
        <f>IFERROR(INDEX('Master Pelanggaran'!$D$2:$D$73,MATCH(G102,'Master Pelanggaran'!$B$2:$B$73,0)),"")</f>
        <v/>
      </c>
      <c r="I102" s="12" t="str">
        <f>IFERROR(INDEX('Master Pelanggaran'!$C$2:$C$73,MATCH(G102,'Master Pelanggaran'!$B$2:$B$73,0)),"")</f>
        <v/>
      </c>
      <c r="J102" s="12" t="str">
        <f>IFERROR(INDEX('Master Pelanggaran'!$E$2:$E$73,MATCH(G102,'Master Pelanggaran'!$B$2:$B$73,0)),"")</f>
        <v/>
      </c>
      <c r="K102" s="12" t="str">
        <f>IF(C102="","",SUMIFS($J$5:J102,$C$5:C102,C102))</f>
        <v/>
      </c>
      <c r="L102" s="13" t="str">
        <f t="shared" si="7"/>
        <v/>
      </c>
      <c r="M102" s="12"/>
      <c r="N102" s="13"/>
    </row>
    <row r="103" spans="1:14" x14ac:dyDescent="0.25">
      <c r="A103" s="12" t="str">
        <f t="shared" si="6"/>
        <v/>
      </c>
      <c r="B103" s="12"/>
      <c r="C103" s="12"/>
      <c r="D103" s="12"/>
      <c r="E103" s="12"/>
      <c r="F103" s="12"/>
      <c r="G103" s="12"/>
      <c r="H103" s="13" t="str">
        <f>IFERROR(INDEX('Master Pelanggaran'!$D$2:$D$73,MATCH(G103,'Master Pelanggaran'!$B$2:$B$73,0)),"")</f>
        <v/>
      </c>
      <c r="I103" s="12" t="str">
        <f>IFERROR(INDEX('Master Pelanggaran'!$C$2:$C$73,MATCH(G103,'Master Pelanggaran'!$B$2:$B$73,0)),"")</f>
        <v/>
      </c>
      <c r="J103" s="12" t="str">
        <f>IFERROR(INDEX('Master Pelanggaran'!$E$2:$E$73,MATCH(G103,'Master Pelanggaran'!$B$2:$B$73,0)),"")</f>
        <v/>
      </c>
      <c r="K103" s="12" t="str">
        <f>IF(C103="","",SUMIFS($J$5:J103,$C$5:C103,C103))</f>
        <v/>
      </c>
      <c r="L103" s="13" t="str">
        <f t="shared" si="7"/>
        <v/>
      </c>
      <c r="M103" s="12"/>
      <c r="N103" s="13"/>
    </row>
    <row r="104" spans="1:14" x14ac:dyDescent="0.25">
      <c r="A104" s="12" t="str">
        <f t="shared" si="6"/>
        <v/>
      </c>
      <c r="B104" s="12"/>
      <c r="C104" s="12"/>
      <c r="D104" s="12"/>
      <c r="E104" s="12"/>
      <c r="F104" s="12"/>
      <c r="G104" s="12"/>
      <c r="H104" s="13" t="str">
        <f>IFERROR(INDEX('Master Pelanggaran'!$D$2:$D$73,MATCH(G104,'Master Pelanggaran'!$B$2:$B$73,0)),"")</f>
        <v/>
      </c>
      <c r="I104" s="12" t="str">
        <f>IFERROR(INDEX('Master Pelanggaran'!$C$2:$C$73,MATCH(G104,'Master Pelanggaran'!$B$2:$B$73,0)),"")</f>
        <v/>
      </c>
      <c r="J104" s="12" t="str">
        <f>IFERROR(INDEX('Master Pelanggaran'!$E$2:$E$73,MATCH(G104,'Master Pelanggaran'!$B$2:$B$73,0)),"")</f>
        <v/>
      </c>
      <c r="K104" s="12" t="str">
        <f>IF(C104="","",SUMIFS($J$5:J104,$C$5:C104,C104))</f>
        <v/>
      </c>
      <c r="L104" s="13" t="str">
        <f t="shared" si="7"/>
        <v/>
      </c>
      <c r="M104" s="12"/>
      <c r="N104" s="13"/>
    </row>
    <row r="105" spans="1:14" x14ac:dyDescent="0.25">
      <c r="A105" s="12" t="str">
        <f t="shared" si="6"/>
        <v/>
      </c>
      <c r="B105" s="12"/>
      <c r="C105" s="12"/>
      <c r="D105" s="12"/>
      <c r="E105" s="12"/>
      <c r="F105" s="12"/>
      <c r="G105" s="12"/>
      <c r="H105" s="13" t="str">
        <f>IFERROR(INDEX('Master Pelanggaran'!$D$2:$D$73,MATCH(G105,'Master Pelanggaran'!$B$2:$B$73,0)),"")</f>
        <v/>
      </c>
      <c r="I105" s="12" t="str">
        <f>IFERROR(INDEX('Master Pelanggaran'!$C$2:$C$73,MATCH(G105,'Master Pelanggaran'!$B$2:$B$73,0)),"")</f>
        <v/>
      </c>
      <c r="J105" s="12" t="str">
        <f>IFERROR(INDEX('Master Pelanggaran'!$E$2:$E$73,MATCH(G105,'Master Pelanggaran'!$B$2:$B$73,0)),"")</f>
        <v/>
      </c>
      <c r="K105" s="12" t="str">
        <f>IF(C105="","",SUMIFS($J$5:J105,$C$5:C105,C105))</f>
        <v/>
      </c>
      <c r="L105" s="13" t="str">
        <f t="shared" si="7"/>
        <v/>
      </c>
      <c r="M105" s="12"/>
      <c r="N105" s="13"/>
    </row>
    <row r="106" spans="1:14" x14ac:dyDescent="0.25">
      <c r="A106" s="12" t="str">
        <f t="shared" si="6"/>
        <v/>
      </c>
      <c r="B106" s="12"/>
      <c r="C106" s="12"/>
      <c r="D106" s="12"/>
      <c r="E106" s="12"/>
      <c r="F106" s="12"/>
      <c r="G106" s="12"/>
      <c r="H106" s="13" t="str">
        <f>IFERROR(INDEX('Master Pelanggaran'!$D$2:$D$73,MATCH(G106,'Master Pelanggaran'!$B$2:$B$73,0)),"")</f>
        <v/>
      </c>
      <c r="I106" s="12" t="str">
        <f>IFERROR(INDEX('Master Pelanggaran'!$C$2:$C$73,MATCH(G106,'Master Pelanggaran'!$B$2:$B$73,0)),"")</f>
        <v/>
      </c>
      <c r="J106" s="12" t="str">
        <f>IFERROR(INDEX('Master Pelanggaran'!$E$2:$E$73,MATCH(G106,'Master Pelanggaran'!$B$2:$B$73,0)),"")</f>
        <v/>
      </c>
      <c r="K106" s="12" t="str">
        <f>IF(C106="","",SUMIFS($J$5:J106,$C$5:C106,C106))</f>
        <v/>
      </c>
      <c r="L106" s="13" t="str">
        <f t="shared" si="7"/>
        <v/>
      </c>
      <c r="M106" s="12"/>
      <c r="N106" s="13"/>
    </row>
    <row r="107" spans="1:14" x14ac:dyDescent="0.25">
      <c r="A107" s="12" t="str">
        <f t="shared" si="6"/>
        <v/>
      </c>
      <c r="B107" s="12"/>
      <c r="C107" s="12"/>
      <c r="D107" s="12"/>
      <c r="E107" s="12"/>
      <c r="F107" s="12"/>
      <c r="G107" s="12"/>
      <c r="H107" s="13" t="str">
        <f>IFERROR(INDEX('Master Pelanggaran'!$D$2:$D$73,MATCH(G107,'Master Pelanggaran'!$B$2:$B$73,0)),"")</f>
        <v/>
      </c>
      <c r="I107" s="12" t="str">
        <f>IFERROR(INDEX('Master Pelanggaran'!$C$2:$C$73,MATCH(G107,'Master Pelanggaran'!$B$2:$B$73,0)),"")</f>
        <v/>
      </c>
      <c r="J107" s="12" t="str">
        <f>IFERROR(INDEX('Master Pelanggaran'!$E$2:$E$73,MATCH(G107,'Master Pelanggaran'!$B$2:$B$73,0)),"")</f>
        <v/>
      </c>
      <c r="K107" s="12" t="str">
        <f>IF(C107="","",SUMIFS($J$5:J107,$C$5:C107,C107))</f>
        <v/>
      </c>
      <c r="L107" s="13" t="str">
        <f t="shared" si="7"/>
        <v/>
      </c>
      <c r="M107" s="12"/>
      <c r="N107" s="13"/>
    </row>
    <row r="108" spans="1:14" x14ac:dyDescent="0.25">
      <c r="A108" s="12" t="str">
        <f t="shared" si="6"/>
        <v/>
      </c>
      <c r="B108" s="12"/>
      <c r="C108" s="12"/>
      <c r="D108" s="12"/>
      <c r="E108" s="12"/>
      <c r="F108" s="12"/>
      <c r="G108" s="12"/>
      <c r="H108" s="13" t="str">
        <f>IFERROR(INDEX('Master Pelanggaran'!$D$2:$D$73,MATCH(G108,'Master Pelanggaran'!$B$2:$B$73,0)),"")</f>
        <v/>
      </c>
      <c r="I108" s="12" t="str">
        <f>IFERROR(INDEX('Master Pelanggaran'!$C$2:$C$73,MATCH(G108,'Master Pelanggaran'!$B$2:$B$73,0)),"")</f>
        <v/>
      </c>
      <c r="J108" s="12" t="str">
        <f>IFERROR(INDEX('Master Pelanggaran'!$E$2:$E$73,MATCH(G108,'Master Pelanggaran'!$B$2:$B$73,0)),"")</f>
        <v/>
      </c>
      <c r="K108" s="12" t="str">
        <f>IF(C108="","",SUMIFS($J$5:J108,$C$5:C108,C108))</f>
        <v/>
      </c>
      <c r="L108" s="13" t="str">
        <f t="shared" si="7"/>
        <v/>
      </c>
      <c r="M108" s="12"/>
      <c r="N108" s="13"/>
    </row>
    <row r="109" spans="1:14" x14ac:dyDescent="0.25">
      <c r="A109" s="12" t="str">
        <f t="shared" si="6"/>
        <v/>
      </c>
      <c r="B109" s="12"/>
      <c r="C109" s="12"/>
      <c r="D109" s="12"/>
      <c r="E109" s="12"/>
      <c r="F109" s="12"/>
      <c r="G109" s="12"/>
      <c r="H109" s="13" t="str">
        <f>IFERROR(INDEX('Master Pelanggaran'!$D$2:$D$73,MATCH(G109,'Master Pelanggaran'!$B$2:$B$73,0)),"")</f>
        <v/>
      </c>
      <c r="I109" s="12" t="str">
        <f>IFERROR(INDEX('Master Pelanggaran'!$C$2:$C$73,MATCH(G109,'Master Pelanggaran'!$B$2:$B$73,0)),"")</f>
        <v/>
      </c>
      <c r="J109" s="12" t="str">
        <f>IFERROR(INDEX('Master Pelanggaran'!$E$2:$E$73,MATCH(G109,'Master Pelanggaran'!$B$2:$B$73,0)),"")</f>
        <v/>
      </c>
      <c r="K109" s="12" t="str">
        <f>IF(C109="","",SUMIFS($J$5:J109,$C$5:C109,C109))</f>
        <v/>
      </c>
      <c r="L109" s="13" t="str">
        <f t="shared" si="7"/>
        <v/>
      </c>
      <c r="M109" s="12"/>
      <c r="N109" s="13"/>
    </row>
    <row r="110" spans="1:14" x14ac:dyDescent="0.25">
      <c r="A110" s="12" t="str">
        <f t="shared" si="6"/>
        <v/>
      </c>
      <c r="B110" s="12"/>
      <c r="C110" s="12"/>
      <c r="D110" s="12"/>
      <c r="E110" s="12"/>
      <c r="F110" s="12"/>
      <c r="G110" s="12"/>
      <c r="H110" s="13" t="str">
        <f>IFERROR(INDEX('Master Pelanggaran'!$D$2:$D$73,MATCH(G110,'Master Pelanggaran'!$B$2:$B$73,0)),"")</f>
        <v/>
      </c>
      <c r="I110" s="12" t="str">
        <f>IFERROR(INDEX('Master Pelanggaran'!$C$2:$C$73,MATCH(G110,'Master Pelanggaran'!$B$2:$B$73,0)),"")</f>
        <v/>
      </c>
      <c r="J110" s="12" t="str">
        <f>IFERROR(INDEX('Master Pelanggaran'!$E$2:$E$73,MATCH(G110,'Master Pelanggaran'!$B$2:$B$73,0)),"")</f>
        <v/>
      </c>
      <c r="K110" s="12" t="str">
        <f>IF(C110="","",SUMIFS($J$5:J110,$C$5:C110,C110))</f>
        <v/>
      </c>
      <c r="L110" s="13" t="str">
        <f t="shared" si="7"/>
        <v/>
      </c>
      <c r="M110" s="12"/>
      <c r="N110" s="13"/>
    </row>
    <row r="111" spans="1:14" x14ac:dyDescent="0.25">
      <c r="A111" s="12" t="str">
        <f t="shared" si="6"/>
        <v/>
      </c>
      <c r="B111" s="12"/>
      <c r="C111" s="12"/>
      <c r="D111" s="12"/>
      <c r="E111" s="12"/>
      <c r="F111" s="12"/>
      <c r="G111" s="12"/>
      <c r="H111" s="13" t="str">
        <f>IFERROR(INDEX('Master Pelanggaran'!$D$2:$D$73,MATCH(G111,'Master Pelanggaran'!$B$2:$B$73,0)),"")</f>
        <v/>
      </c>
      <c r="I111" s="12" t="str">
        <f>IFERROR(INDEX('Master Pelanggaran'!$C$2:$C$73,MATCH(G111,'Master Pelanggaran'!$B$2:$B$73,0)),"")</f>
        <v/>
      </c>
      <c r="J111" s="12" t="str">
        <f>IFERROR(INDEX('Master Pelanggaran'!$E$2:$E$73,MATCH(G111,'Master Pelanggaran'!$B$2:$B$73,0)),"")</f>
        <v/>
      </c>
      <c r="K111" s="12" t="str">
        <f>IF(C111="","",SUMIFS($J$5:J111,$C$5:C111,C111))</f>
        <v/>
      </c>
      <c r="L111" s="13" t="str">
        <f t="shared" si="7"/>
        <v/>
      </c>
      <c r="M111" s="12"/>
      <c r="N111" s="13"/>
    </row>
    <row r="112" spans="1:14" x14ac:dyDescent="0.25">
      <c r="A112" s="12" t="str">
        <f t="shared" si="6"/>
        <v/>
      </c>
      <c r="B112" s="12"/>
      <c r="C112" s="12"/>
      <c r="D112" s="12"/>
      <c r="E112" s="12"/>
      <c r="F112" s="12"/>
      <c r="G112" s="12"/>
      <c r="H112" s="13" t="str">
        <f>IFERROR(INDEX('Master Pelanggaran'!$D$2:$D$73,MATCH(G112,'Master Pelanggaran'!$B$2:$B$73,0)),"")</f>
        <v/>
      </c>
      <c r="I112" s="12" t="str">
        <f>IFERROR(INDEX('Master Pelanggaran'!$C$2:$C$73,MATCH(G112,'Master Pelanggaran'!$B$2:$B$73,0)),"")</f>
        <v/>
      </c>
      <c r="J112" s="12" t="str">
        <f>IFERROR(INDEX('Master Pelanggaran'!$E$2:$E$73,MATCH(G112,'Master Pelanggaran'!$B$2:$B$73,0)),"")</f>
        <v/>
      </c>
      <c r="K112" s="12" t="str">
        <f>IF(C112="","",SUMIFS($J$5:J112,$C$5:C112,C112))</f>
        <v/>
      </c>
      <c r="L112" s="13" t="str">
        <f t="shared" si="7"/>
        <v/>
      </c>
      <c r="M112" s="12"/>
      <c r="N112" s="13"/>
    </row>
    <row r="113" spans="1:14" x14ac:dyDescent="0.25">
      <c r="A113" s="12" t="str">
        <f t="shared" si="6"/>
        <v/>
      </c>
      <c r="B113" s="12"/>
      <c r="C113" s="12"/>
      <c r="D113" s="12"/>
      <c r="E113" s="12"/>
      <c r="F113" s="12"/>
      <c r="G113" s="12"/>
      <c r="H113" s="13" t="str">
        <f>IFERROR(INDEX('Master Pelanggaran'!$D$2:$D$73,MATCH(G113,'Master Pelanggaran'!$B$2:$B$73,0)),"")</f>
        <v/>
      </c>
      <c r="I113" s="12" t="str">
        <f>IFERROR(INDEX('Master Pelanggaran'!$C$2:$C$73,MATCH(G113,'Master Pelanggaran'!$B$2:$B$73,0)),"")</f>
        <v/>
      </c>
      <c r="J113" s="12" t="str">
        <f>IFERROR(INDEX('Master Pelanggaran'!$E$2:$E$73,MATCH(G113,'Master Pelanggaran'!$B$2:$B$73,0)),"")</f>
        <v/>
      </c>
      <c r="K113" s="12" t="str">
        <f>IF(C113="","",SUMIFS($J$5:J113,$C$5:C113,C113))</f>
        <v/>
      </c>
      <c r="L113" s="13" t="str">
        <f t="shared" si="7"/>
        <v/>
      </c>
      <c r="M113" s="12"/>
      <c r="N113" s="13"/>
    </row>
    <row r="114" spans="1:14" x14ac:dyDescent="0.25">
      <c r="A114" s="12" t="str">
        <f t="shared" si="6"/>
        <v/>
      </c>
      <c r="B114" s="12"/>
      <c r="C114" s="12"/>
      <c r="D114" s="12"/>
      <c r="E114" s="12"/>
      <c r="F114" s="12"/>
      <c r="G114" s="12"/>
      <c r="H114" s="13" t="str">
        <f>IFERROR(INDEX('Master Pelanggaran'!$D$2:$D$73,MATCH(G114,'Master Pelanggaran'!$B$2:$B$73,0)),"")</f>
        <v/>
      </c>
      <c r="I114" s="12" t="str">
        <f>IFERROR(INDEX('Master Pelanggaran'!$C$2:$C$73,MATCH(G114,'Master Pelanggaran'!$B$2:$B$73,0)),"")</f>
        <v/>
      </c>
      <c r="J114" s="12" t="str">
        <f>IFERROR(INDEX('Master Pelanggaran'!$E$2:$E$73,MATCH(G114,'Master Pelanggaran'!$B$2:$B$73,0)),"")</f>
        <v/>
      </c>
      <c r="K114" s="12" t="str">
        <f>IF(C114="","",SUMIFS($J$5:J114,$C$5:C114,C114))</f>
        <v/>
      </c>
      <c r="L114" s="13" t="str">
        <f t="shared" si="7"/>
        <v/>
      </c>
      <c r="M114" s="12"/>
      <c r="N114" s="13"/>
    </row>
    <row r="115" spans="1:14" x14ac:dyDescent="0.25">
      <c r="A115" s="12" t="str">
        <f t="shared" si="6"/>
        <v/>
      </c>
      <c r="B115" s="12"/>
      <c r="C115" s="12"/>
      <c r="D115" s="12"/>
      <c r="E115" s="12"/>
      <c r="F115" s="12"/>
      <c r="G115" s="12"/>
      <c r="H115" s="13" t="str">
        <f>IFERROR(INDEX('Master Pelanggaran'!$D$2:$D$73,MATCH(G115,'Master Pelanggaran'!$B$2:$B$73,0)),"")</f>
        <v/>
      </c>
      <c r="I115" s="12" t="str">
        <f>IFERROR(INDEX('Master Pelanggaran'!$C$2:$C$73,MATCH(G115,'Master Pelanggaran'!$B$2:$B$73,0)),"")</f>
        <v/>
      </c>
      <c r="J115" s="12" t="str">
        <f>IFERROR(INDEX('Master Pelanggaran'!$E$2:$E$73,MATCH(G115,'Master Pelanggaran'!$B$2:$B$73,0)),"")</f>
        <v/>
      </c>
      <c r="K115" s="12" t="str">
        <f>IF(C115="","",SUMIFS($J$5:J115,$C$5:C115,C115))</f>
        <v/>
      </c>
      <c r="L115" s="13" t="str">
        <f t="shared" si="7"/>
        <v/>
      </c>
      <c r="M115" s="12"/>
      <c r="N115" s="13"/>
    </row>
    <row r="116" spans="1:14" x14ac:dyDescent="0.25">
      <c r="A116" s="12" t="str">
        <f t="shared" si="6"/>
        <v/>
      </c>
      <c r="B116" s="12"/>
      <c r="C116" s="12"/>
      <c r="D116" s="12"/>
      <c r="E116" s="12"/>
      <c r="F116" s="12"/>
      <c r="G116" s="12"/>
      <c r="H116" s="13" t="str">
        <f>IFERROR(INDEX('Master Pelanggaran'!$D$2:$D$73,MATCH(G116,'Master Pelanggaran'!$B$2:$B$73,0)),"")</f>
        <v/>
      </c>
      <c r="I116" s="12" t="str">
        <f>IFERROR(INDEX('Master Pelanggaran'!$C$2:$C$73,MATCH(G116,'Master Pelanggaran'!$B$2:$B$73,0)),"")</f>
        <v/>
      </c>
      <c r="J116" s="12" t="str">
        <f>IFERROR(INDEX('Master Pelanggaran'!$E$2:$E$73,MATCH(G116,'Master Pelanggaran'!$B$2:$B$73,0)),"")</f>
        <v/>
      </c>
      <c r="K116" s="12" t="str">
        <f>IF(C116="","",SUMIFS($J$5:J116,$C$5:C116,C116))</f>
        <v/>
      </c>
      <c r="L116" s="13" t="str">
        <f t="shared" si="7"/>
        <v/>
      </c>
      <c r="M116" s="12"/>
      <c r="N116" s="13"/>
    </row>
    <row r="117" spans="1:14" x14ac:dyDescent="0.25">
      <c r="A117" s="12" t="str">
        <f t="shared" si="6"/>
        <v/>
      </c>
      <c r="B117" s="12"/>
      <c r="C117" s="12"/>
      <c r="D117" s="12"/>
      <c r="E117" s="12"/>
      <c r="F117" s="12"/>
      <c r="G117" s="12"/>
      <c r="H117" s="13" t="str">
        <f>IFERROR(INDEX('Master Pelanggaran'!$D$2:$D$73,MATCH(G117,'Master Pelanggaran'!$B$2:$B$73,0)),"")</f>
        <v/>
      </c>
      <c r="I117" s="12" t="str">
        <f>IFERROR(INDEX('Master Pelanggaran'!$C$2:$C$73,MATCH(G117,'Master Pelanggaran'!$B$2:$B$73,0)),"")</f>
        <v/>
      </c>
      <c r="J117" s="12" t="str">
        <f>IFERROR(INDEX('Master Pelanggaran'!$E$2:$E$73,MATCH(G117,'Master Pelanggaran'!$B$2:$B$73,0)),"")</f>
        <v/>
      </c>
      <c r="K117" s="12" t="str">
        <f>IF(C117="","",SUMIFS($J$5:J117,$C$5:C117,C117))</f>
        <v/>
      </c>
      <c r="L117" s="13" t="str">
        <f t="shared" si="7"/>
        <v/>
      </c>
      <c r="M117" s="12"/>
      <c r="N117" s="13"/>
    </row>
    <row r="118" spans="1:14" x14ac:dyDescent="0.25">
      <c r="A118" s="12" t="str">
        <f t="shared" si="6"/>
        <v/>
      </c>
      <c r="B118" s="12"/>
      <c r="C118" s="12"/>
      <c r="D118" s="12"/>
      <c r="E118" s="12"/>
      <c r="F118" s="12"/>
      <c r="G118" s="12"/>
      <c r="H118" s="13" t="str">
        <f>IFERROR(INDEX('Master Pelanggaran'!$D$2:$D$73,MATCH(G118,'Master Pelanggaran'!$B$2:$B$73,0)),"")</f>
        <v/>
      </c>
      <c r="I118" s="12" t="str">
        <f>IFERROR(INDEX('Master Pelanggaran'!$C$2:$C$73,MATCH(G118,'Master Pelanggaran'!$B$2:$B$73,0)),"")</f>
        <v/>
      </c>
      <c r="J118" s="12" t="str">
        <f>IFERROR(INDEX('Master Pelanggaran'!$E$2:$E$73,MATCH(G118,'Master Pelanggaran'!$B$2:$B$73,0)),"")</f>
        <v/>
      </c>
      <c r="K118" s="12" t="str">
        <f>IF(C118="","",SUMIFS($J$5:J118,$C$5:C118,C118))</f>
        <v/>
      </c>
      <c r="L118" s="13" t="str">
        <f t="shared" si="7"/>
        <v/>
      </c>
      <c r="M118" s="12"/>
      <c r="N118" s="13"/>
    </row>
    <row r="119" spans="1:14" x14ac:dyDescent="0.25">
      <c r="A119" s="12" t="str">
        <f t="shared" si="6"/>
        <v/>
      </c>
      <c r="B119" s="12"/>
      <c r="C119" s="12"/>
      <c r="D119" s="12"/>
      <c r="E119" s="12"/>
      <c r="F119" s="12"/>
      <c r="G119" s="12"/>
      <c r="H119" s="13" t="str">
        <f>IFERROR(INDEX('Master Pelanggaran'!$D$2:$D$73,MATCH(G119,'Master Pelanggaran'!$B$2:$B$73,0)),"")</f>
        <v/>
      </c>
      <c r="I119" s="12" t="str">
        <f>IFERROR(INDEX('Master Pelanggaran'!$C$2:$C$73,MATCH(G119,'Master Pelanggaran'!$B$2:$B$73,0)),"")</f>
        <v/>
      </c>
      <c r="J119" s="12" t="str">
        <f>IFERROR(INDEX('Master Pelanggaran'!$E$2:$E$73,MATCH(G119,'Master Pelanggaran'!$B$2:$B$73,0)),"")</f>
        <v/>
      </c>
      <c r="K119" s="12" t="str">
        <f>IF(C119="","",SUMIFS($J$5:J119,$C$5:C119,C119))</f>
        <v/>
      </c>
      <c r="L119" s="13" t="str">
        <f t="shared" si="7"/>
        <v/>
      </c>
      <c r="M119" s="12"/>
      <c r="N119" s="13"/>
    </row>
    <row r="120" spans="1:14" x14ac:dyDescent="0.25">
      <c r="A120" s="12" t="str">
        <f t="shared" si="6"/>
        <v/>
      </c>
      <c r="B120" s="12"/>
      <c r="C120" s="12"/>
      <c r="D120" s="12"/>
      <c r="E120" s="12"/>
      <c r="F120" s="12"/>
      <c r="G120" s="12"/>
      <c r="H120" s="13" t="str">
        <f>IFERROR(INDEX('Master Pelanggaran'!$D$2:$D$73,MATCH(G120,'Master Pelanggaran'!$B$2:$B$73,0)),"")</f>
        <v/>
      </c>
      <c r="I120" s="12" t="str">
        <f>IFERROR(INDEX('Master Pelanggaran'!$C$2:$C$73,MATCH(G120,'Master Pelanggaran'!$B$2:$B$73,0)),"")</f>
        <v/>
      </c>
      <c r="J120" s="12" t="str">
        <f>IFERROR(INDEX('Master Pelanggaran'!$E$2:$E$73,MATCH(G120,'Master Pelanggaran'!$B$2:$B$73,0)),"")</f>
        <v/>
      </c>
      <c r="K120" s="12" t="str">
        <f>IF(C120="","",SUMIFS($J$5:J120,$C$5:C120,C120))</f>
        <v/>
      </c>
      <c r="L120" s="13" t="str">
        <f t="shared" si="7"/>
        <v/>
      </c>
      <c r="M120" s="12"/>
      <c r="N120" s="13"/>
    </row>
    <row r="121" spans="1:14" x14ac:dyDescent="0.25">
      <c r="A121" s="12" t="str">
        <f t="shared" si="6"/>
        <v/>
      </c>
      <c r="B121" s="12"/>
      <c r="C121" s="12"/>
      <c r="D121" s="12"/>
      <c r="E121" s="12"/>
      <c r="F121" s="12"/>
      <c r="G121" s="12"/>
      <c r="H121" s="13" t="str">
        <f>IFERROR(INDEX('Master Pelanggaran'!$D$2:$D$73,MATCH(G121,'Master Pelanggaran'!$B$2:$B$73,0)),"")</f>
        <v/>
      </c>
      <c r="I121" s="12" t="str">
        <f>IFERROR(INDEX('Master Pelanggaran'!$C$2:$C$73,MATCH(G121,'Master Pelanggaran'!$B$2:$B$73,0)),"")</f>
        <v/>
      </c>
      <c r="J121" s="12" t="str">
        <f>IFERROR(INDEX('Master Pelanggaran'!$E$2:$E$73,MATCH(G121,'Master Pelanggaran'!$B$2:$B$73,0)),"")</f>
        <v/>
      </c>
      <c r="K121" s="12" t="str">
        <f>IF(C121="","",SUMIFS($J$5:J121,$C$5:C121,C121))</f>
        <v/>
      </c>
      <c r="L121" s="13" t="str">
        <f t="shared" si="7"/>
        <v/>
      </c>
      <c r="M121" s="12"/>
      <c r="N121" s="13"/>
    </row>
    <row r="122" spans="1:14" x14ac:dyDescent="0.25">
      <c r="A122" s="12" t="str">
        <f t="shared" si="6"/>
        <v/>
      </c>
      <c r="B122" s="12"/>
      <c r="C122" s="12"/>
      <c r="D122" s="12"/>
      <c r="E122" s="12"/>
      <c r="F122" s="12"/>
      <c r="G122" s="12"/>
      <c r="H122" s="13" t="str">
        <f>IFERROR(INDEX('Master Pelanggaran'!$D$2:$D$73,MATCH(G122,'Master Pelanggaran'!$B$2:$B$73,0)),"")</f>
        <v/>
      </c>
      <c r="I122" s="12" t="str">
        <f>IFERROR(INDEX('Master Pelanggaran'!$C$2:$C$73,MATCH(G122,'Master Pelanggaran'!$B$2:$B$73,0)),"")</f>
        <v/>
      </c>
      <c r="J122" s="12" t="str">
        <f>IFERROR(INDEX('Master Pelanggaran'!$E$2:$E$73,MATCH(G122,'Master Pelanggaran'!$B$2:$B$73,0)),"")</f>
        <v/>
      </c>
      <c r="K122" s="12" t="str">
        <f>IF(C122="","",SUMIFS($J$5:J122,$C$5:C122,C122))</f>
        <v/>
      </c>
      <c r="L122" s="13" t="str">
        <f t="shared" si="7"/>
        <v/>
      </c>
      <c r="M122" s="12"/>
      <c r="N122" s="13"/>
    </row>
    <row r="123" spans="1:14" x14ac:dyDescent="0.25">
      <c r="A123" s="12" t="str">
        <f t="shared" si="6"/>
        <v/>
      </c>
      <c r="B123" s="12"/>
      <c r="C123" s="12"/>
      <c r="D123" s="12"/>
      <c r="E123" s="12"/>
      <c r="F123" s="12"/>
      <c r="G123" s="12"/>
      <c r="H123" s="13" t="str">
        <f>IFERROR(INDEX('Master Pelanggaran'!$D$2:$D$73,MATCH(G123,'Master Pelanggaran'!$B$2:$B$73,0)),"")</f>
        <v/>
      </c>
      <c r="I123" s="12" t="str">
        <f>IFERROR(INDEX('Master Pelanggaran'!$C$2:$C$73,MATCH(G123,'Master Pelanggaran'!$B$2:$B$73,0)),"")</f>
        <v/>
      </c>
      <c r="J123" s="12" t="str">
        <f>IFERROR(INDEX('Master Pelanggaran'!$E$2:$E$73,MATCH(G123,'Master Pelanggaran'!$B$2:$B$73,0)),"")</f>
        <v/>
      </c>
      <c r="K123" s="12" t="str">
        <f>IF(C123="","",SUMIFS($J$5:J123,$C$5:C123,C123))</f>
        <v/>
      </c>
      <c r="L123" s="13" t="str">
        <f t="shared" si="7"/>
        <v/>
      </c>
      <c r="M123" s="12"/>
      <c r="N123" s="13"/>
    </row>
    <row r="124" spans="1:14" x14ac:dyDescent="0.25">
      <c r="A124" s="12" t="str">
        <f t="shared" si="6"/>
        <v/>
      </c>
      <c r="B124" s="12"/>
      <c r="C124" s="12"/>
      <c r="D124" s="12"/>
      <c r="E124" s="12"/>
      <c r="F124" s="12"/>
      <c r="G124" s="12"/>
      <c r="H124" s="13" t="str">
        <f>IFERROR(INDEX('Master Pelanggaran'!$D$2:$D$73,MATCH(G124,'Master Pelanggaran'!$B$2:$B$73,0)),"")</f>
        <v/>
      </c>
      <c r="I124" s="12" t="str">
        <f>IFERROR(INDEX('Master Pelanggaran'!$C$2:$C$73,MATCH(G124,'Master Pelanggaran'!$B$2:$B$73,0)),"")</f>
        <v/>
      </c>
      <c r="J124" s="12" t="str">
        <f>IFERROR(INDEX('Master Pelanggaran'!$E$2:$E$73,MATCH(G124,'Master Pelanggaran'!$B$2:$B$73,0)),"")</f>
        <v/>
      </c>
      <c r="K124" s="12" t="str">
        <f>IF(C124="","",SUMIFS($J$5:J124,$C$5:C124,C124))</f>
        <v/>
      </c>
      <c r="L124" s="13" t="str">
        <f t="shared" si="7"/>
        <v/>
      </c>
      <c r="M124" s="12"/>
      <c r="N124" s="13"/>
    </row>
    <row r="125" spans="1:14" x14ac:dyDescent="0.25">
      <c r="A125" s="12" t="str">
        <f t="shared" si="6"/>
        <v/>
      </c>
      <c r="B125" s="12"/>
      <c r="C125" s="12"/>
      <c r="D125" s="12"/>
      <c r="E125" s="12"/>
      <c r="F125" s="12"/>
      <c r="G125" s="12"/>
      <c r="H125" s="13" t="str">
        <f>IFERROR(INDEX('Master Pelanggaran'!$D$2:$D$73,MATCH(G125,'Master Pelanggaran'!$B$2:$B$73,0)),"")</f>
        <v/>
      </c>
      <c r="I125" s="12" t="str">
        <f>IFERROR(INDEX('Master Pelanggaran'!$C$2:$C$73,MATCH(G125,'Master Pelanggaran'!$B$2:$B$73,0)),"")</f>
        <v/>
      </c>
      <c r="J125" s="12" t="str">
        <f>IFERROR(INDEX('Master Pelanggaran'!$E$2:$E$73,MATCH(G125,'Master Pelanggaran'!$B$2:$B$73,0)),"")</f>
        <v/>
      </c>
      <c r="K125" s="12" t="str">
        <f>IF(C125="","",SUMIFS($J$5:J125,$C$5:C125,C125))</f>
        <v/>
      </c>
      <c r="L125" s="13" t="str">
        <f t="shared" si="7"/>
        <v/>
      </c>
      <c r="M125" s="12"/>
      <c r="N125" s="13"/>
    </row>
    <row r="126" spans="1:14" x14ac:dyDescent="0.25">
      <c r="A126" s="12" t="str">
        <f t="shared" si="6"/>
        <v/>
      </c>
      <c r="B126" s="12"/>
      <c r="C126" s="12"/>
      <c r="D126" s="12"/>
      <c r="E126" s="12"/>
      <c r="F126" s="12"/>
      <c r="G126" s="12"/>
      <c r="H126" s="13" t="str">
        <f>IFERROR(INDEX('Master Pelanggaran'!$D$2:$D$73,MATCH(G126,'Master Pelanggaran'!$B$2:$B$73,0)),"")</f>
        <v/>
      </c>
      <c r="I126" s="12" t="str">
        <f>IFERROR(INDEX('Master Pelanggaran'!$C$2:$C$73,MATCH(G126,'Master Pelanggaran'!$B$2:$B$73,0)),"")</f>
        <v/>
      </c>
      <c r="J126" s="12" t="str">
        <f>IFERROR(INDEX('Master Pelanggaran'!$E$2:$E$73,MATCH(G126,'Master Pelanggaran'!$B$2:$B$73,0)),"")</f>
        <v/>
      </c>
      <c r="K126" s="12" t="str">
        <f>IF(C126="","",SUMIFS($J$5:J126,$C$5:C126,C126))</f>
        <v/>
      </c>
      <c r="L126" s="13" t="str">
        <f t="shared" si="7"/>
        <v/>
      </c>
      <c r="M126" s="12"/>
      <c r="N126" s="13"/>
    </row>
    <row r="127" spans="1:14" x14ac:dyDescent="0.25">
      <c r="A127" s="12" t="str">
        <f t="shared" si="6"/>
        <v/>
      </c>
      <c r="B127" s="12"/>
      <c r="C127" s="12"/>
      <c r="D127" s="12"/>
      <c r="E127" s="12"/>
      <c r="F127" s="12"/>
      <c r="G127" s="12"/>
      <c r="H127" s="13" t="str">
        <f>IFERROR(INDEX('Master Pelanggaran'!$D$2:$D$73,MATCH(G127,'Master Pelanggaran'!$B$2:$B$73,0)),"")</f>
        <v/>
      </c>
      <c r="I127" s="12" t="str">
        <f>IFERROR(INDEX('Master Pelanggaran'!$C$2:$C$73,MATCH(G127,'Master Pelanggaran'!$B$2:$B$73,0)),"")</f>
        <v/>
      </c>
      <c r="J127" s="12" t="str">
        <f>IFERROR(INDEX('Master Pelanggaran'!$E$2:$E$73,MATCH(G127,'Master Pelanggaran'!$B$2:$B$73,0)),"")</f>
        <v/>
      </c>
      <c r="K127" s="12" t="str">
        <f>IF(C127="","",SUMIFS($J$5:J127,$C$5:C127,C127))</f>
        <v/>
      </c>
      <c r="L127" s="13" t="str">
        <f t="shared" si="7"/>
        <v/>
      </c>
      <c r="M127" s="12"/>
      <c r="N127" s="13"/>
    </row>
    <row r="128" spans="1:14" x14ac:dyDescent="0.25">
      <c r="A128" s="12" t="str">
        <f t="shared" si="6"/>
        <v/>
      </c>
      <c r="B128" s="12"/>
      <c r="C128" s="12"/>
      <c r="D128" s="12"/>
      <c r="E128" s="12"/>
      <c r="F128" s="12"/>
      <c r="G128" s="12"/>
      <c r="H128" s="13" t="str">
        <f>IFERROR(INDEX('Master Pelanggaran'!$D$2:$D$73,MATCH(G128,'Master Pelanggaran'!$B$2:$B$73,0)),"")</f>
        <v/>
      </c>
      <c r="I128" s="12" t="str">
        <f>IFERROR(INDEX('Master Pelanggaran'!$C$2:$C$73,MATCH(G128,'Master Pelanggaran'!$B$2:$B$73,0)),"")</f>
        <v/>
      </c>
      <c r="J128" s="12" t="str">
        <f>IFERROR(INDEX('Master Pelanggaran'!$E$2:$E$73,MATCH(G128,'Master Pelanggaran'!$B$2:$B$73,0)),"")</f>
        <v/>
      </c>
      <c r="K128" s="12" t="str">
        <f>IF(C128="","",SUMIFS($J$5:J128,$C$5:C128,C128))</f>
        <v/>
      </c>
      <c r="L128" s="13" t="str">
        <f t="shared" si="7"/>
        <v/>
      </c>
      <c r="M128" s="12"/>
      <c r="N128" s="13"/>
    </row>
    <row r="129" spans="1:14" x14ac:dyDescent="0.25">
      <c r="A129" s="12" t="str">
        <f t="shared" si="6"/>
        <v/>
      </c>
      <c r="B129" s="12"/>
      <c r="C129" s="12"/>
      <c r="D129" s="12"/>
      <c r="E129" s="12"/>
      <c r="F129" s="12"/>
      <c r="G129" s="12"/>
      <c r="H129" s="13" t="str">
        <f>IFERROR(INDEX('Master Pelanggaran'!$D$2:$D$73,MATCH(G129,'Master Pelanggaran'!$B$2:$B$73,0)),"")</f>
        <v/>
      </c>
      <c r="I129" s="12" t="str">
        <f>IFERROR(INDEX('Master Pelanggaran'!$C$2:$C$73,MATCH(G129,'Master Pelanggaran'!$B$2:$B$73,0)),"")</f>
        <v/>
      </c>
      <c r="J129" s="12" t="str">
        <f>IFERROR(INDEX('Master Pelanggaran'!$E$2:$E$73,MATCH(G129,'Master Pelanggaran'!$B$2:$B$73,0)),"")</f>
        <v/>
      </c>
      <c r="K129" s="12" t="str">
        <f>IF(C129="","",SUMIFS($J$5:J129,$C$5:C129,C129))</f>
        <v/>
      </c>
      <c r="L129" s="13" t="str">
        <f t="shared" si="7"/>
        <v/>
      </c>
      <c r="M129" s="12"/>
      <c r="N129" s="13"/>
    </row>
    <row r="130" spans="1:14" x14ac:dyDescent="0.25">
      <c r="A130" s="12" t="str">
        <f t="shared" si="6"/>
        <v/>
      </c>
      <c r="B130" s="12"/>
      <c r="C130" s="12"/>
      <c r="D130" s="12"/>
      <c r="E130" s="12"/>
      <c r="F130" s="12"/>
      <c r="G130" s="12"/>
      <c r="H130" s="13" t="str">
        <f>IFERROR(INDEX('Master Pelanggaran'!$D$2:$D$73,MATCH(G130,'Master Pelanggaran'!$B$2:$B$73,0)),"")</f>
        <v/>
      </c>
      <c r="I130" s="12" t="str">
        <f>IFERROR(INDEX('Master Pelanggaran'!$C$2:$C$73,MATCH(G130,'Master Pelanggaran'!$B$2:$B$73,0)),"")</f>
        <v/>
      </c>
      <c r="J130" s="12" t="str">
        <f>IFERROR(INDEX('Master Pelanggaran'!$E$2:$E$73,MATCH(G130,'Master Pelanggaran'!$B$2:$B$73,0)),"")</f>
        <v/>
      </c>
      <c r="K130" s="12" t="str">
        <f>IF(C130="","",SUMIFS($J$5:J130,$C$5:C130,C130))</f>
        <v/>
      </c>
      <c r="L130" s="13" t="str">
        <f t="shared" si="7"/>
        <v/>
      </c>
      <c r="M130" s="12"/>
      <c r="N130" s="13"/>
    </row>
    <row r="131" spans="1:14" x14ac:dyDescent="0.25">
      <c r="A131" s="12" t="str">
        <f t="shared" si="6"/>
        <v/>
      </c>
      <c r="B131" s="12"/>
      <c r="C131" s="12"/>
      <c r="D131" s="12"/>
      <c r="E131" s="12"/>
      <c r="F131" s="12"/>
      <c r="G131" s="12"/>
      <c r="H131" s="13" t="str">
        <f>IFERROR(INDEX('Master Pelanggaran'!$D$2:$D$73,MATCH(G131,'Master Pelanggaran'!$B$2:$B$73,0)),"")</f>
        <v/>
      </c>
      <c r="I131" s="12" t="str">
        <f>IFERROR(INDEX('Master Pelanggaran'!$C$2:$C$73,MATCH(G131,'Master Pelanggaran'!$B$2:$B$73,0)),"")</f>
        <v/>
      </c>
      <c r="J131" s="12" t="str">
        <f>IFERROR(INDEX('Master Pelanggaran'!$E$2:$E$73,MATCH(G131,'Master Pelanggaran'!$B$2:$B$73,0)),"")</f>
        <v/>
      </c>
      <c r="K131" s="12" t="str">
        <f>IF(C131="","",SUMIFS($J$5:J131,$C$5:C131,C131))</f>
        <v/>
      </c>
      <c r="L131" s="13" t="str">
        <f t="shared" si="7"/>
        <v/>
      </c>
      <c r="M131" s="12"/>
      <c r="N131" s="13"/>
    </row>
    <row r="132" spans="1:14" x14ac:dyDescent="0.25">
      <c r="A132" s="12" t="str">
        <f t="shared" si="6"/>
        <v/>
      </c>
      <c r="B132" s="12"/>
      <c r="C132" s="12"/>
      <c r="D132" s="12"/>
      <c r="E132" s="12"/>
      <c r="F132" s="12"/>
      <c r="G132" s="12"/>
      <c r="H132" s="13" t="str">
        <f>IFERROR(INDEX('Master Pelanggaran'!$D$2:$D$73,MATCH(G132,'Master Pelanggaran'!$B$2:$B$73,0)),"")</f>
        <v/>
      </c>
      <c r="I132" s="12" t="str">
        <f>IFERROR(INDEX('Master Pelanggaran'!$C$2:$C$73,MATCH(G132,'Master Pelanggaran'!$B$2:$B$73,0)),"")</f>
        <v/>
      </c>
      <c r="J132" s="12" t="str">
        <f>IFERROR(INDEX('Master Pelanggaran'!$E$2:$E$73,MATCH(G132,'Master Pelanggaran'!$B$2:$B$73,0)),"")</f>
        <v/>
      </c>
      <c r="K132" s="12" t="str">
        <f>IF(C132="","",SUMIFS($J$5:J132,$C$5:C132,C132))</f>
        <v/>
      </c>
      <c r="L132" s="13" t="str">
        <f t="shared" si="7"/>
        <v/>
      </c>
      <c r="M132" s="12"/>
      <c r="N132" s="13"/>
    </row>
    <row r="133" spans="1:14" x14ac:dyDescent="0.25">
      <c r="A133" s="12" t="str">
        <f t="shared" ref="A133:A164" si="8">IF(C133="","",ROW()-4)</f>
        <v/>
      </c>
      <c r="B133" s="12"/>
      <c r="C133" s="12"/>
      <c r="D133" s="12"/>
      <c r="E133" s="12"/>
      <c r="F133" s="12"/>
      <c r="G133" s="12"/>
      <c r="H133" s="13" t="str">
        <f>IFERROR(INDEX('Master Pelanggaran'!$D$2:$D$73,MATCH(G133,'Master Pelanggaran'!$B$2:$B$73,0)),"")</f>
        <v/>
      </c>
      <c r="I133" s="12" t="str">
        <f>IFERROR(INDEX('Master Pelanggaran'!$C$2:$C$73,MATCH(G133,'Master Pelanggaran'!$B$2:$B$73,0)),"")</f>
        <v/>
      </c>
      <c r="J133" s="12" t="str">
        <f>IFERROR(INDEX('Master Pelanggaran'!$E$2:$E$73,MATCH(G133,'Master Pelanggaran'!$B$2:$B$73,0)),"")</f>
        <v/>
      </c>
      <c r="K133" s="12" t="str">
        <f>IF(C133="","",SUMIFS($J$5:J133,$C$5:C133,C133))</f>
        <v/>
      </c>
      <c r="L133" s="13" t="str">
        <f t="shared" ref="L133:L164" si="9">IF(K133="","",IF(K133&gt;=100,"Dikembalikan ke orang tua",IF(K133&gt;=75,"Pemanggilan ortu (perjanjian); Pendampingan ahli; Wajib lapor shalat jama'ah; Larangan keluar 3 bulan",IF(K133&gt;=51,"Pemanggilan ortu (pernyataan); Digundul; Wajib lapor shalat 30 hari; Menghafal/menulis surat pilihan",IF(K133&gt;=35,"Pemanggilan ortu (peringatan); Digundul/jilbab pembinaan; Menghafal Juz 30/surat pilihan",IF(K133&gt;=21,"Pemberitahuan orang tua; Roan","Roan (Pembinaan)"))))))</f>
        <v/>
      </c>
      <c r="M133" s="12"/>
      <c r="N133" s="13"/>
    </row>
    <row r="134" spans="1:14" x14ac:dyDescent="0.25">
      <c r="A134" s="12" t="str">
        <f t="shared" si="8"/>
        <v/>
      </c>
      <c r="B134" s="12"/>
      <c r="C134" s="12"/>
      <c r="D134" s="12"/>
      <c r="E134" s="12"/>
      <c r="F134" s="12"/>
      <c r="G134" s="12"/>
      <c r="H134" s="13" t="str">
        <f>IFERROR(INDEX('Master Pelanggaran'!$D$2:$D$73,MATCH(G134,'Master Pelanggaran'!$B$2:$B$73,0)),"")</f>
        <v/>
      </c>
      <c r="I134" s="12" t="str">
        <f>IFERROR(INDEX('Master Pelanggaran'!$C$2:$C$73,MATCH(G134,'Master Pelanggaran'!$B$2:$B$73,0)),"")</f>
        <v/>
      </c>
      <c r="J134" s="12" t="str">
        <f>IFERROR(INDEX('Master Pelanggaran'!$E$2:$E$73,MATCH(G134,'Master Pelanggaran'!$B$2:$B$73,0)),"")</f>
        <v/>
      </c>
      <c r="K134" s="12" t="str">
        <f>IF(C134="","",SUMIFS($J$5:J134,$C$5:C134,C134))</f>
        <v/>
      </c>
      <c r="L134" s="13" t="str">
        <f t="shared" si="9"/>
        <v/>
      </c>
      <c r="M134" s="12"/>
      <c r="N134" s="13"/>
    </row>
    <row r="135" spans="1:14" x14ac:dyDescent="0.25">
      <c r="A135" s="12" t="str">
        <f t="shared" si="8"/>
        <v/>
      </c>
      <c r="B135" s="12"/>
      <c r="C135" s="12"/>
      <c r="D135" s="12"/>
      <c r="E135" s="12"/>
      <c r="F135" s="12"/>
      <c r="G135" s="12"/>
      <c r="H135" s="13" t="str">
        <f>IFERROR(INDEX('Master Pelanggaran'!$D$2:$D$73,MATCH(G135,'Master Pelanggaran'!$B$2:$B$73,0)),"")</f>
        <v/>
      </c>
      <c r="I135" s="12" t="str">
        <f>IFERROR(INDEX('Master Pelanggaran'!$C$2:$C$73,MATCH(G135,'Master Pelanggaran'!$B$2:$B$73,0)),"")</f>
        <v/>
      </c>
      <c r="J135" s="12" t="str">
        <f>IFERROR(INDEX('Master Pelanggaran'!$E$2:$E$73,MATCH(G135,'Master Pelanggaran'!$B$2:$B$73,0)),"")</f>
        <v/>
      </c>
      <c r="K135" s="12" t="str">
        <f>IF(C135="","",SUMIFS($J$5:J135,$C$5:C135,C135))</f>
        <v/>
      </c>
      <c r="L135" s="13" t="str">
        <f t="shared" si="9"/>
        <v/>
      </c>
      <c r="M135" s="12"/>
      <c r="N135" s="13"/>
    </row>
    <row r="136" spans="1:14" x14ac:dyDescent="0.25">
      <c r="A136" s="12" t="str">
        <f t="shared" si="8"/>
        <v/>
      </c>
      <c r="B136" s="12"/>
      <c r="C136" s="12"/>
      <c r="D136" s="12"/>
      <c r="E136" s="12"/>
      <c r="F136" s="12"/>
      <c r="G136" s="12"/>
      <c r="H136" s="13" t="str">
        <f>IFERROR(INDEX('Master Pelanggaran'!$D$2:$D$73,MATCH(G136,'Master Pelanggaran'!$B$2:$B$73,0)),"")</f>
        <v/>
      </c>
      <c r="I136" s="12" t="str">
        <f>IFERROR(INDEX('Master Pelanggaran'!$C$2:$C$73,MATCH(G136,'Master Pelanggaran'!$B$2:$B$73,0)),"")</f>
        <v/>
      </c>
      <c r="J136" s="12" t="str">
        <f>IFERROR(INDEX('Master Pelanggaran'!$E$2:$E$73,MATCH(G136,'Master Pelanggaran'!$B$2:$B$73,0)),"")</f>
        <v/>
      </c>
      <c r="K136" s="12" t="str">
        <f>IF(C136="","",SUMIFS($J$5:J136,$C$5:C136,C136))</f>
        <v/>
      </c>
      <c r="L136" s="13" t="str">
        <f t="shared" si="9"/>
        <v/>
      </c>
      <c r="M136" s="12"/>
      <c r="N136" s="13"/>
    </row>
    <row r="137" spans="1:14" x14ac:dyDescent="0.25">
      <c r="A137" s="12" t="str">
        <f t="shared" si="8"/>
        <v/>
      </c>
      <c r="B137" s="12"/>
      <c r="C137" s="12"/>
      <c r="D137" s="12"/>
      <c r="E137" s="12"/>
      <c r="F137" s="12"/>
      <c r="G137" s="12"/>
      <c r="H137" s="13" t="str">
        <f>IFERROR(INDEX('Master Pelanggaran'!$D$2:$D$73,MATCH(G137,'Master Pelanggaran'!$B$2:$B$73,0)),"")</f>
        <v/>
      </c>
      <c r="I137" s="12" t="str">
        <f>IFERROR(INDEX('Master Pelanggaran'!$C$2:$C$73,MATCH(G137,'Master Pelanggaran'!$B$2:$B$73,0)),"")</f>
        <v/>
      </c>
      <c r="J137" s="12" t="str">
        <f>IFERROR(INDEX('Master Pelanggaran'!$E$2:$E$73,MATCH(G137,'Master Pelanggaran'!$B$2:$B$73,0)),"")</f>
        <v/>
      </c>
      <c r="K137" s="12" t="str">
        <f>IF(C137="","",SUMIFS($J$5:J137,$C$5:C137,C137))</f>
        <v/>
      </c>
      <c r="L137" s="13" t="str">
        <f t="shared" si="9"/>
        <v/>
      </c>
      <c r="M137" s="12"/>
      <c r="N137" s="13"/>
    </row>
    <row r="138" spans="1:14" x14ac:dyDescent="0.25">
      <c r="A138" s="12" t="str">
        <f t="shared" si="8"/>
        <v/>
      </c>
      <c r="B138" s="12"/>
      <c r="C138" s="12"/>
      <c r="D138" s="12"/>
      <c r="E138" s="12"/>
      <c r="F138" s="12"/>
      <c r="G138" s="12"/>
      <c r="H138" s="13" t="str">
        <f>IFERROR(INDEX('Master Pelanggaran'!$D$2:$D$73,MATCH(G138,'Master Pelanggaran'!$B$2:$B$73,0)),"")</f>
        <v/>
      </c>
      <c r="I138" s="12" t="str">
        <f>IFERROR(INDEX('Master Pelanggaran'!$C$2:$C$73,MATCH(G138,'Master Pelanggaran'!$B$2:$B$73,0)),"")</f>
        <v/>
      </c>
      <c r="J138" s="12" t="str">
        <f>IFERROR(INDEX('Master Pelanggaran'!$E$2:$E$73,MATCH(G138,'Master Pelanggaran'!$B$2:$B$73,0)),"")</f>
        <v/>
      </c>
      <c r="K138" s="12" t="str">
        <f>IF(C138="","",SUMIFS($J$5:J138,$C$5:C138,C138))</f>
        <v/>
      </c>
      <c r="L138" s="13" t="str">
        <f t="shared" si="9"/>
        <v/>
      </c>
      <c r="M138" s="12"/>
      <c r="N138" s="13"/>
    </row>
    <row r="139" spans="1:14" x14ac:dyDescent="0.25">
      <c r="A139" s="12" t="str">
        <f t="shared" si="8"/>
        <v/>
      </c>
      <c r="B139" s="12"/>
      <c r="C139" s="12"/>
      <c r="D139" s="12"/>
      <c r="E139" s="12"/>
      <c r="F139" s="12"/>
      <c r="G139" s="12"/>
      <c r="H139" s="13" t="str">
        <f>IFERROR(INDEX('Master Pelanggaran'!$D$2:$D$73,MATCH(G139,'Master Pelanggaran'!$B$2:$B$73,0)),"")</f>
        <v/>
      </c>
      <c r="I139" s="12" t="str">
        <f>IFERROR(INDEX('Master Pelanggaran'!$C$2:$C$73,MATCH(G139,'Master Pelanggaran'!$B$2:$B$73,0)),"")</f>
        <v/>
      </c>
      <c r="J139" s="12" t="str">
        <f>IFERROR(INDEX('Master Pelanggaran'!$E$2:$E$73,MATCH(G139,'Master Pelanggaran'!$B$2:$B$73,0)),"")</f>
        <v/>
      </c>
      <c r="K139" s="12" t="str">
        <f>IF(C139="","",SUMIFS($J$5:J139,$C$5:C139,C139))</f>
        <v/>
      </c>
      <c r="L139" s="13" t="str">
        <f t="shared" si="9"/>
        <v/>
      </c>
      <c r="M139" s="12"/>
      <c r="N139" s="13"/>
    </row>
    <row r="140" spans="1:14" x14ac:dyDescent="0.25">
      <c r="A140" s="12" t="str">
        <f t="shared" si="8"/>
        <v/>
      </c>
      <c r="B140" s="12"/>
      <c r="C140" s="12"/>
      <c r="D140" s="12"/>
      <c r="E140" s="12"/>
      <c r="F140" s="12"/>
      <c r="G140" s="12"/>
      <c r="H140" s="13" t="str">
        <f>IFERROR(INDEX('Master Pelanggaran'!$D$2:$D$73,MATCH(G140,'Master Pelanggaran'!$B$2:$B$73,0)),"")</f>
        <v/>
      </c>
      <c r="I140" s="12" t="str">
        <f>IFERROR(INDEX('Master Pelanggaran'!$C$2:$C$73,MATCH(G140,'Master Pelanggaran'!$B$2:$B$73,0)),"")</f>
        <v/>
      </c>
      <c r="J140" s="12" t="str">
        <f>IFERROR(INDEX('Master Pelanggaran'!$E$2:$E$73,MATCH(G140,'Master Pelanggaran'!$B$2:$B$73,0)),"")</f>
        <v/>
      </c>
      <c r="K140" s="12" t="str">
        <f>IF(C140="","",SUMIFS($J$5:J140,$C$5:C140,C140))</f>
        <v/>
      </c>
      <c r="L140" s="13" t="str">
        <f t="shared" si="9"/>
        <v/>
      </c>
      <c r="M140" s="12"/>
      <c r="N140" s="13"/>
    </row>
    <row r="141" spans="1:14" x14ac:dyDescent="0.25">
      <c r="A141" s="12" t="str">
        <f t="shared" si="8"/>
        <v/>
      </c>
      <c r="B141" s="12"/>
      <c r="C141" s="12"/>
      <c r="D141" s="12"/>
      <c r="E141" s="12"/>
      <c r="F141" s="12"/>
      <c r="G141" s="12"/>
      <c r="H141" s="13" t="str">
        <f>IFERROR(INDEX('Master Pelanggaran'!$D$2:$D$73,MATCH(G141,'Master Pelanggaran'!$B$2:$B$73,0)),"")</f>
        <v/>
      </c>
      <c r="I141" s="12" t="str">
        <f>IFERROR(INDEX('Master Pelanggaran'!$C$2:$C$73,MATCH(G141,'Master Pelanggaran'!$B$2:$B$73,0)),"")</f>
        <v/>
      </c>
      <c r="J141" s="12" t="str">
        <f>IFERROR(INDEX('Master Pelanggaran'!$E$2:$E$73,MATCH(G141,'Master Pelanggaran'!$B$2:$B$73,0)),"")</f>
        <v/>
      </c>
      <c r="K141" s="12" t="str">
        <f>IF(C141="","",SUMIFS($J$5:J141,$C$5:C141,C141))</f>
        <v/>
      </c>
      <c r="L141" s="13" t="str">
        <f t="shared" si="9"/>
        <v/>
      </c>
      <c r="M141" s="12"/>
      <c r="N141" s="13"/>
    </row>
    <row r="142" spans="1:14" x14ac:dyDescent="0.25">
      <c r="A142" s="12" t="str">
        <f t="shared" si="8"/>
        <v/>
      </c>
      <c r="B142" s="12"/>
      <c r="C142" s="12"/>
      <c r="D142" s="12"/>
      <c r="E142" s="12"/>
      <c r="F142" s="12"/>
      <c r="G142" s="12"/>
      <c r="H142" s="13" t="str">
        <f>IFERROR(INDEX('Master Pelanggaran'!$D$2:$D$73,MATCH(G142,'Master Pelanggaran'!$B$2:$B$73,0)),"")</f>
        <v/>
      </c>
      <c r="I142" s="12" t="str">
        <f>IFERROR(INDEX('Master Pelanggaran'!$C$2:$C$73,MATCH(G142,'Master Pelanggaran'!$B$2:$B$73,0)),"")</f>
        <v/>
      </c>
      <c r="J142" s="12" t="str">
        <f>IFERROR(INDEX('Master Pelanggaran'!$E$2:$E$73,MATCH(G142,'Master Pelanggaran'!$B$2:$B$73,0)),"")</f>
        <v/>
      </c>
      <c r="K142" s="12" t="str">
        <f>IF(C142="","",SUMIFS($J$5:J142,$C$5:C142,C142))</f>
        <v/>
      </c>
      <c r="L142" s="13" t="str">
        <f t="shared" si="9"/>
        <v/>
      </c>
      <c r="M142" s="12"/>
      <c r="N142" s="13"/>
    </row>
    <row r="143" spans="1:14" x14ac:dyDescent="0.25">
      <c r="A143" s="12" t="str">
        <f t="shared" si="8"/>
        <v/>
      </c>
      <c r="B143" s="12"/>
      <c r="C143" s="12"/>
      <c r="D143" s="12"/>
      <c r="E143" s="12"/>
      <c r="F143" s="12"/>
      <c r="G143" s="12"/>
      <c r="H143" s="13" t="str">
        <f>IFERROR(INDEX('Master Pelanggaran'!$D$2:$D$73,MATCH(G143,'Master Pelanggaran'!$B$2:$B$73,0)),"")</f>
        <v/>
      </c>
      <c r="I143" s="12" t="str">
        <f>IFERROR(INDEX('Master Pelanggaran'!$C$2:$C$73,MATCH(G143,'Master Pelanggaran'!$B$2:$B$73,0)),"")</f>
        <v/>
      </c>
      <c r="J143" s="12" t="str">
        <f>IFERROR(INDEX('Master Pelanggaran'!$E$2:$E$73,MATCH(G143,'Master Pelanggaran'!$B$2:$B$73,0)),"")</f>
        <v/>
      </c>
      <c r="K143" s="12" t="str">
        <f>IF(C143="","",SUMIFS($J$5:J143,$C$5:C143,C143))</f>
        <v/>
      </c>
      <c r="L143" s="13" t="str">
        <f t="shared" si="9"/>
        <v/>
      </c>
      <c r="M143" s="12"/>
      <c r="N143" s="13"/>
    </row>
    <row r="144" spans="1:14" x14ac:dyDescent="0.25">
      <c r="A144" s="12" t="str">
        <f t="shared" si="8"/>
        <v/>
      </c>
      <c r="B144" s="12"/>
      <c r="C144" s="12"/>
      <c r="D144" s="12"/>
      <c r="E144" s="12"/>
      <c r="F144" s="12"/>
      <c r="G144" s="12"/>
      <c r="H144" s="13" t="str">
        <f>IFERROR(INDEX('Master Pelanggaran'!$D$2:$D$73,MATCH(G144,'Master Pelanggaran'!$B$2:$B$73,0)),"")</f>
        <v/>
      </c>
      <c r="I144" s="12" t="str">
        <f>IFERROR(INDEX('Master Pelanggaran'!$C$2:$C$73,MATCH(G144,'Master Pelanggaran'!$B$2:$B$73,0)),"")</f>
        <v/>
      </c>
      <c r="J144" s="12" t="str">
        <f>IFERROR(INDEX('Master Pelanggaran'!$E$2:$E$73,MATCH(G144,'Master Pelanggaran'!$B$2:$B$73,0)),"")</f>
        <v/>
      </c>
      <c r="K144" s="12" t="str">
        <f>IF(C144="","",SUMIFS($J$5:J144,$C$5:C144,C144))</f>
        <v/>
      </c>
      <c r="L144" s="13" t="str">
        <f t="shared" si="9"/>
        <v/>
      </c>
      <c r="M144" s="12"/>
      <c r="N144" s="13"/>
    </row>
    <row r="145" spans="1:14" x14ac:dyDescent="0.25">
      <c r="A145" s="12" t="str">
        <f t="shared" si="8"/>
        <v/>
      </c>
      <c r="B145" s="12"/>
      <c r="C145" s="12"/>
      <c r="D145" s="12"/>
      <c r="E145" s="12"/>
      <c r="F145" s="12"/>
      <c r="G145" s="12"/>
      <c r="H145" s="13" t="str">
        <f>IFERROR(INDEX('Master Pelanggaran'!$D$2:$D$73,MATCH(G145,'Master Pelanggaran'!$B$2:$B$73,0)),"")</f>
        <v/>
      </c>
      <c r="I145" s="12" t="str">
        <f>IFERROR(INDEX('Master Pelanggaran'!$C$2:$C$73,MATCH(G145,'Master Pelanggaran'!$B$2:$B$73,0)),"")</f>
        <v/>
      </c>
      <c r="J145" s="12" t="str">
        <f>IFERROR(INDEX('Master Pelanggaran'!$E$2:$E$73,MATCH(G145,'Master Pelanggaran'!$B$2:$B$73,0)),"")</f>
        <v/>
      </c>
      <c r="K145" s="12" t="str">
        <f>IF(C145="","",SUMIFS($J$5:J145,$C$5:C145,C145))</f>
        <v/>
      </c>
      <c r="L145" s="13" t="str">
        <f t="shared" si="9"/>
        <v/>
      </c>
      <c r="M145" s="12"/>
      <c r="N145" s="13"/>
    </row>
    <row r="146" spans="1:14" x14ac:dyDescent="0.25">
      <c r="A146" s="12" t="str">
        <f t="shared" si="8"/>
        <v/>
      </c>
      <c r="B146" s="12"/>
      <c r="C146" s="12"/>
      <c r="D146" s="12"/>
      <c r="E146" s="12"/>
      <c r="F146" s="12"/>
      <c r="G146" s="12"/>
      <c r="H146" s="13" t="str">
        <f>IFERROR(INDEX('Master Pelanggaran'!$D$2:$D$73,MATCH(G146,'Master Pelanggaran'!$B$2:$B$73,0)),"")</f>
        <v/>
      </c>
      <c r="I146" s="12" t="str">
        <f>IFERROR(INDEX('Master Pelanggaran'!$C$2:$C$73,MATCH(G146,'Master Pelanggaran'!$B$2:$B$73,0)),"")</f>
        <v/>
      </c>
      <c r="J146" s="12" t="str">
        <f>IFERROR(INDEX('Master Pelanggaran'!$E$2:$E$73,MATCH(G146,'Master Pelanggaran'!$B$2:$B$73,0)),"")</f>
        <v/>
      </c>
      <c r="K146" s="12" t="str">
        <f>IF(C146="","",SUMIFS($J$5:J146,$C$5:C146,C146))</f>
        <v/>
      </c>
      <c r="L146" s="13" t="str">
        <f t="shared" si="9"/>
        <v/>
      </c>
      <c r="M146" s="12"/>
      <c r="N146" s="13"/>
    </row>
    <row r="147" spans="1:14" x14ac:dyDescent="0.25">
      <c r="A147" s="12" t="str">
        <f t="shared" si="8"/>
        <v/>
      </c>
      <c r="B147" s="12"/>
      <c r="C147" s="12"/>
      <c r="D147" s="12"/>
      <c r="E147" s="12"/>
      <c r="F147" s="12"/>
      <c r="G147" s="12"/>
      <c r="H147" s="13" t="str">
        <f>IFERROR(INDEX('Master Pelanggaran'!$D$2:$D$73,MATCH(G147,'Master Pelanggaran'!$B$2:$B$73,0)),"")</f>
        <v/>
      </c>
      <c r="I147" s="12" t="str">
        <f>IFERROR(INDEX('Master Pelanggaran'!$C$2:$C$73,MATCH(G147,'Master Pelanggaran'!$B$2:$B$73,0)),"")</f>
        <v/>
      </c>
      <c r="J147" s="12" t="str">
        <f>IFERROR(INDEX('Master Pelanggaran'!$E$2:$E$73,MATCH(G147,'Master Pelanggaran'!$B$2:$B$73,0)),"")</f>
        <v/>
      </c>
      <c r="K147" s="12" t="str">
        <f>IF(C147="","",SUMIFS($J$5:J147,$C$5:C147,C147))</f>
        <v/>
      </c>
      <c r="L147" s="13" t="str">
        <f t="shared" si="9"/>
        <v/>
      </c>
      <c r="M147" s="12"/>
      <c r="N147" s="13"/>
    </row>
    <row r="148" spans="1:14" x14ac:dyDescent="0.25">
      <c r="A148" s="12" t="str">
        <f t="shared" si="8"/>
        <v/>
      </c>
      <c r="B148" s="12"/>
      <c r="C148" s="12"/>
      <c r="D148" s="12"/>
      <c r="E148" s="12"/>
      <c r="F148" s="12"/>
      <c r="G148" s="12"/>
      <c r="H148" s="13" t="str">
        <f>IFERROR(INDEX('Master Pelanggaran'!$D$2:$D$73,MATCH(G148,'Master Pelanggaran'!$B$2:$B$73,0)),"")</f>
        <v/>
      </c>
      <c r="I148" s="12" t="str">
        <f>IFERROR(INDEX('Master Pelanggaran'!$C$2:$C$73,MATCH(G148,'Master Pelanggaran'!$B$2:$B$73,0)),"")</f>
        <v/>
      </c>
      <c r="J148" s="12" t="str">
        <f>IFERROR(INDEX('Master Pelanggaran'!$E$2:$E$73,MATCH(G148,'Master Pelanggaran'!$B$2:$B$73,0)),"")</f>
        <v/>
      </c>
      <c r="K148" s="12" t="str">
        <f>IF(C148="","",SUMIFS($J$5:J148,$C$5:C148,C148))</f>
        <v/>
      </c>
      <c r="L148" s="13" t="str">
        <f t="shared" si="9"/>
        <v/>
      </c>
      <c r="M148" s="12"/>
      <c r="N148" s="13"/>
    </row>
    <row r="149" spans="1:14" x14ac:dyDescent="0.25">
      <c r="A149" s="12" t="str">
        <f t="shared" si="8"/>
        <v/>
      </c>
      <c r="B149" s="12"/>
      <c r="C149" s="12"/>
      <c r="D149" s="12"/>
      <c r="E149" s="12"/>
      <c r="F149" s="12"/>
      <c r="G149" s="12"/>
      <c r="H149" s="13" t="str">
        <f>IFERROR(INDEX('Master Pelanggaran'!$D$2:$D$73,MATCH(G149,'Master Pelanggaran'!$B$2:$B$73,0)),"")</f>
        <v/>
      </c>
      <c r="I149" s="12" t="str">
        <f>IFERROR(INDEX('Master Pelanggaran'!$C$2:$C$73,MATCH(G149,'Master Pelanggaran'!$B$2:$B$73,0)),"")</f>
        <v/>
      </c>
      <c r="J149" s="12" t="str">
        <f>IFERROR(INDEX('Master Pelanggaran'!$E$2:$E$73,MATCH(G149,'Master Pelanggaran'!$B$2:$B$73,0)),"")</f>
        <v/>
      </c>
      <c r="K149" s="12" t="str">
        <f>IF(C149="","",SUMIFS($J$5:J149,$C$5:C149,C149))</f>
        <v/>
      </c>
      <c r="L149" s="13" t="str">
        <f t="shared" si="9"/>
        <v/>
      </c>
      <c r="M149" s="12"/>
      <c r="N149" s="13"/>
    </row>
    <row r="150" spans="1:14" x14ac:dyDescent="0.25">
      <c r="A150" s="12" t="str">
        <f t="shared" si="8"/>
        <v/>
      </c>
      <c r="B150" s="12"/>
      <c r="C150" s="12"/>
      <c r="D150" s="12"/>
      <c r="E150" s="12"/>
      <c r="F150" s="12"/>
      <c r="G150" s="12"/>
      <c r="H150" s="13" t="str">
        <f>IFERROR(INDEX('Master Pelanggaran'!$D$2:$D$73,MATCH(G150,'Master Pelanggaran'!$B$2:$B$73,0)),"")</f>
        <v/>
      </c>
      <c r="I150" s="12" t="str">
        <f>IFERROR(INDEX('Master Pelanggaran'!$C$2:$C$73,MATCH(G150,'Master Pelanggaran'!$B$2:$B$73,0)),"")</f>
        <v/>
      </c>
      <c r="J150" s="12" t="str">
        <f>IFERROR(INDEX('Master Pelanggaran'!$E$2:$E$73,MATCH(G150,'Master Pelanggaran'!$B$2:$B$73,0)),"")</f>
        <v/>
      </c>
      <c r="K150" s="12" t="str">
        <f>IF(C150="","",SUMIFS($J$5:J150,$C$5:C150,C150))</f>
        <v/>
      </c>
      <c r="L150" s="13" t="str">
        <f t="shared" si="9"/>
        <v/>
      </c>
      <c r="M150" s="12"/>
      <c r="N150" s="13"/>
    </row>
    <row r="151" spans="1:14" x14ac:dyDescent="0.25">
      <c r="A151" s="12" t="str">
        <f t="shared" si="8"/>
        <v/>
      </c>
      <c r="B151" s="12"/>
      <c r="C151" s="12"/>
      <c r="D151" s="12"/>
      <c r="E151" s="12"/>
      <c r="F151" s="12"/>
      <c r="G151" s="12"/>
      <c r="H151" s="13" t="str">
        <f>IFERROR(INDEX('Master Pelanggaran'!$D$2:$D$73,MATCH(G151,'Master Pelanggaran'!$B$2:$B$73,0)),"")</f>
        <v/>
      </c>
      <c r="I151" s="12" t="str">
        <f>IFERROR(INDEX('Master Pelanggaran'!$C$2:$C$73,MATCH(G151,'Master Pelanggaran'!$B$2:$B$73,0)),"")</f>
        <v/>
      </c>
      <c r="J151" s="12" t="str">
        <f>IFERROR(INDEX('Master Pelanggaran'!$E$2:$E$73,MATCH(G151,'Master Pelanggaran'!$B$2:$B$73,0)),"")</f>
        <v/>
      </c>
      <c r="K151" s="12" t="str">
        <f>IF(C151="","",SUMIFS($J$5:J151,$C$5:C151,C151))</f>
        <v/>
      </c>
      <c r="L151" s="13" t="str">
        <f t="shared" si="9"/>
        <v/>
      </c>
      <c r="M151" s="12"/>
      <c r="N151" s="13"/>
    </row>
    <row r="152" spans="1:14" x14ac:dyDescent="0.25">
      <c r="A152" s="12" t="str">
        <f t="shared" si="8"/>
        <v/>
      </c>
      <c r="B152" s="12"/>
      <c r="C152" s="12"/>
      <c r="D152" s="12"/>
      <c r="E152" s="12"/>
      <c r="F152" s="12"/>
      <c r="G152" s="12"/>
      <c r="H152" s="13" t="str">
        <f>IFERROR(INDEX('Master Pelanggaran'!$D$2:$D$73,MATCH(G152,'Master Pelanggaran'!$B$2:$B$73,0)),"")</f>
        <v/>
      </c>
      <c r="I152" s="12" t="str">
        <f>IFERROR(INDEX('Master Pelanggaran'!$C$2:$C$73,MATCH(G152,'Master Pelanggaran'!$B$2:$B$73,0)),"")</f>
        <v/>
      </c>
      <c r="J152" s="12" t="str">
        <f>IFERROR(INDEX('Master Pelanggaran'!$E$2:$E$73,MATCH(G152,'Master Pelanggaran'!$B$2:$B$73,0)),"")</f>
        <v/>
      </c>
      <c r="K152" s="12" t="str">
        <f>IF(C152="","",SUMIFS($J$5:J152,$C$5:C152,C152))</f>
        <v/>
      </c>
      <c r="L152" s="13" t="str">
        <f t="shared" si="9"/>
        <v/>
      </c>
      <c r="M152" s="12"/>
      <c r="N152" s="13"/>
    </row>
    <row r="153" spans="1:14" x14ac:dyDescent="0.25">
      <c r="A153" s="12" t="str">
        <f t="shared" si="8"/>
        <v/>
      </c>
      <c r="B153" s="12"/>
      <c r="C153" s="12"/>
      <c r="D153" s="12"/>
      <c r="E153" s="12"/>
      <c r="F153" s="12"/>
      <c r="G153" s="12"/>
      <c r="H153" s="13" t="str">
        <f>IFERROR(INDEX('Master Pelanggaran'!$D$2:$D$73,MATCH(G153,'Master Pelanggaran'!$B$2:$B$73,0)),"")</f>
        <v/>
      </c>
      <c r="I153" s="12" t="str">
        <f>IFERROR(INDEX('Master Pelanggaran'!$C$2:$C$73,MATCH(G153,'Master Pelanggaran'!$B$2:$B$73,0)),"")</f>
        <v/>
      </c>
      <c r="J153" s="12" t="str">
        <f>IFERROR(INDEX('Master Pelanggaran'!$E$2:$E$73,MATCH(G153,'Master Pelanggaran'!$B$2:$B$73,0)),"")</f>
        <v/>
      </c>
      <c r="K153" s="12" t="str">
        <f>IF(C153="","",SUMIFS($J$5:J153,$C$5:C153,C153))</f>
        <v/>
      </c>
      <c r="L153" s="13" t="str">
        <f t="shared" si="9"/>
        <v/>
      </c>
      <c r="M153" s="12"/>
      <c r="N153" s="13"/>
    </row>
    <row r="154" spans="1:14" x14ac:dyDescent="0.25">
      <c r="A154" s="12" t="str">
        <f t="shared" si="8"/>
        <v/>
      </c>
      <c r="B154" s="12"/>
      <c r="C154" s="12"/>
      <c r="D154" s="12"/>
      <c r="E154" s="12"/>
      <c r="F154" s="12"/>
      <c r="G154" s="12"/>
      <c r="H154" s="13" t="str">
        <f>IFERROR(INDEX('Master Pelanggaran'!$D$2:$D$73,MATCH(G154,'Master Pelanggaran'!$B$2:$B$73,0)),"")</f>
        <v/>
      </c>
      <c r="I154" s="12" t="str">
        <f>IFERROR(INDEX('Master Pelanggaran'!$C$2:$C$73,MATCH(G154,'Master Pelanggaran'!$B$2:$B$73,0)),"")</f>
        <v/>
      </c>
      <c r="J154" s="12" t="str">
        <f>IFERROR(INDEX('Master Pelanggaran'!$E$2:$E$73,MATCH(G154,'Master Pelanggaran'!$B$2:$B$73,0)),"")</f>
        <v/>
      </c>
      <c r="K154" s="12" t="str">
        <f>IF(C154="","",SUMIFS($J$5:J154,$C$5:C154,C154))</f>
        <v/>
      </c>
      <c r="L154" s="13" t="str">
        <f t="shared" si="9"/>
        <v/>
      </c>
      <c r="M154" s="12"/>
      <c r="N154" s="13"/>
    </row>
    <row r="155" spans="1:14" x14ac:dyDescent="0.25">
      <c r="A155" s="12" t="str">
        <f t="shared" si="8"/>
        <v/>
      </c>
      <c r="B155" s="12"/>
      <c r="C155" s="12"/>
      <c r="D155" s="12"/>
      <c r="E155" s="12"/>
      <c r="F155" s="12"/>
      <c r="G155" s="12"/>
      <c r="H155" s="13" t="str">
        <f>IFERROR(INDEX('Master Pelanggaran'!$D$2:$D$73,MATCH(G155,'Master Pelanggaran'!$B$2:$B$73,0)),"")</f>
        <v/>
      </c>
      <c r="I155" s="12" t="str">
        <f>IFERROR(INDEX('Master Pelanggaran'!$C$2:$C$73,MATCH(G155,'Master Pelanggaran'!$B$2:$B$73,0)),"")</f>
        <v/>
      </c>
      <c r="J155" s="12" t="str">
        <f>IFERROR(INDEX('Master Pelanggaran'!$E$2:$E$73,MATCH(G155,'Master Pelanggaran'!$B$2:$B$73,0)),"")</f>
        <v/>
      </c>
      <c r="K155" s="12" t="str">
        <f>IF(C155="","",SUMIFS($J$5:J155,$C$5:C155,C155))</f>
        <v/>
      </c>
      <c r="L155" s="13" t="str">
        <f t="shared" si="9"/>
        <v/>
      </c>
      <c r="M155" s="12"/>
      <c r="N155" s="13"/>
    </row>
    <row r="156" spans="1:14" x14ac:dyDescent="0.25">
      <c r="A156" s="12" t="str">
        <f t="shared" si="8"/>
        <v/>
      </c>
      <c r="B156" s="12"/>
      <c r="C156" s="12"/>
      <c r="D156" s="12"/>
      <c r="E156" s="12"/>
      <c r="F156" s="12"/>
      <c r="G156" s="12"/>
      <c r="H156" s="13" t="str">
        <f>IFERROR(INDEX('Master Pelanggaran'!$D$2:$D$73,MATCH(G156,'Master Pelanggaran'!$B$2:$B$73,0)),"")</f>
        <v/>
      </c>
      <c r="I156" s="12" t="str">
        <f>IFERROR(INDEX('Master Pelanggaran'!$C$2:$C$73,MATCH(G156,'Master Pelanggaran'!$B$2:$B$73,0)),"")</f>
        <v/>
      </c>
      <c r="J156" s="12" t="str">
        <f>IFERROR(INDEX('Master Pelanggaran'!$E$2:$E$73,MATCH(G156,'Master Pelanggaran'!$B$2:$B$73,0)),"")</f>
        <v/>
      </c>
      <c r="K156" s="12" t="str">
        <f>IF(C156="","",SUMIFS($J$5:J156,$C$5:C156,C156))</f>
        <v/>
      </c>
      <c r="L156" s="13" t="str">
        <f t="shared" si="9"/>
        <v/>
      </c>
      <c r="M156" s="12"/>
      <c r="N156" s="13"/>
    </row>
    <row r="157" spans="1:14" x14ac:dyDescent="0.25">
      <c r="A157" s="12" t="str">
        <f t="shared" si="8"/>
        <v/>
      </c>
      <c r="B157" s="12"/>
      <c r="C157" s="12"/>
      <c r="D157" s="12"/>
      <c r="E157" s="12"/>
      <c r="F157" s="12"/>
      <c r="G157" s="12"/>
      <c r="H157" s="13" t="str">
        <f>IFERROR(INDEX('Master Pelanggaran'!$D$2:$D$73,MATCH(G157,'Master Pelanggaran'!$B$2:$B$73,0)),"")</f>
        <v/>
      </c>
      <c r="I157" s="12" t="str">
        <f>IFERROR(INDEX('Master Pelanggaran'!$C$2:$C$73,MATCH(G157,'Master Pelanggaran'!$B$2:$B$73,0)),"")</f>
        <v/>
      </c>
      <c r="J157" s="12" t="str">
        <f>IFERROR(INDEX('Master Pelanggaran'!$E$2:$E$73,MATCH(G157,'Master Pelanggaran'!$B$2:$B$73,0)),"")</f>
        <v/>
      </c>
      <c r="K157" s="12" t="str">
        <f>IF(C157="","",SUMIFS($J$5:J157,$C$5:C157,C157))</f>
        <v/>
      </c>
      <c r="L157" s="13" t="str">
        <f t="shared" si="9"/>
        <v/>
      </c>
      <c r="M157" s="12"/>
      <c r="N157" s="13"/>
    </row>
    <row r="158" spans="1:14" x14ac:dyDescent="0.25">
      <c r="A158" s="12" t="str">
        <f t="shared" si="8"/>
        <v/>
      </c>
      <c r="B158" s="12"/>
      <c r="C158" s="12"/>
      <c r="D158" s="12"/>
      <c r="E158" s="12"/>
      <c r="F158" s="12"/>
      <c r="G158" s="12"/>
      <c r="H158" s="13" t="str">
        <f>IFERROR(INDEX('Master Pelanggaran'!$D$2:$D$73,MATCH(G158,'Master Pelanggaran'!$B$2:$B$73,0)),"")</f>
        <v/>
      </c>
      <c r="I158" s="12" t="str">
        <f>IFERROR(INDEX('Master Pelanggaran'!$C$2:$C$73,MATCH(G158,'Master Pelanggaran'!$B$2:$B$73,0)),"")</f>
        <v/>
      </c>
      <c r="J158" s="12" t="str">
        <f>IFERROR(INDEX('Master Pelanggaran'!$E$2:$E$73,MATCH(G158,'Master Pelanggaran'!$B$2:$B$73,0)),"")</f>
        <v/>
      </c>
      <c r="K158" s="12" t="str">
        <f>IF(C158="","",SUMIFS($J$5:J158,$C$5:C158,C158))</f>
        <v/>
      </c>
      <c r="L158" s="13" t="str">
        <f t="shared" si="9"/>
        <v/>
      </c>
      <c r="M158" s="12"/>
      <c r="N158" s="13"/>
    </row>
    <row r="159" spans="1:14" x14ac:dyDescent="0.25">
      <c r="A159" s="12" t="str">
        <f t="shared" si="8"/>
        <v/>
      </c>
      <c r="B159" s="12"/>
      <c r="C159" s="12"/>
      <c r="D159" s="12"/>
      <c r="E159" s="12"/>
      <c r="F159" s="12"/>
      <c r="G159" s="12"/>
      <c r="H159" s="13" t="str">
        <f>IFERROR(INDEX('Master Pelanggaran'!$D$2:$D$73,MATCH(G159,'Master Pelanggaran'!$B$2:$B$73,0)),"")</f>
        <v/>
      </c>
      <c r="I159" s="12" t="str">
        <f>IFERROR(INDEX('Master Pelanggaran'!$C$2:$C$73,MATCH(G159,'Master Pelanggaran'!$B$2:$B$73,0)),"")</f>
        <v/>
      </c>
      <c r="J159" s="12" t="str">
        <f>IFERROR(INDEX('Master Pelanggaran'!$E$2:$E$73,MATCH(G159,'Master Pelanggaran'!$B$2:$B$73,0)),"")</f>
        <v/>
      </c>
      <c r="K159" s="12" t="str">
        <f>IF(C159="","",SUMIFS($J$5:J159,$C$5:C159,C159))</f>
        <v/>
      </c>
      <c r="L159" s="13" t="str">
        <f t="shared" si="9"/>
        <v/>
      </c>
      <c r="M159" s="12"/>
      <c r="N159" s="13"/>
    </row>
    <row r="160" spans="1:14" x14ac:dyDescent="0.25">
      <c r="A160" s="12" t="str">
        <f t="shared" si="8"/>
        <v/>
      </c>
      <c r="B160" s="12"/>
      <c r="C160" s="12"/>
      <c r="D160" s="12"/>
      <c r="E160" s="12"/>
      <c r="F160" s="12"/>
      <c r="G160" s="12"/>
      <c r="H160" s="13" t="str">
        <f>IFERROR(INDEX('Master Pelanggaran'!$D$2:$D$73,MATCH(G160,'Master Pelanggaran'!$B$2:$B$73,0)),"")</f>
        <v/>
      </c>
      <c r="I160" s="12" t="str">
        <f>IFERROR(INDEX('Master Pelanggaran'!$C$2:$C$73,MATCH(G160,'Master Pelanggaran'!$B$2:$B$73,0)),"")</f>
        <v/>
      </c>
      <c r="J160" s="12" t="str">
        <f>IFERROR(INDEX('Master Pelanggaran'!$E$2:$E$73,MATCH(G160,'Master Pelanggaran'!$B$2:$B$73,0)),"")</f>
        <v/>
      </c>
      <c r="K160" s="12" t="str">
        <f>IF(C160="","",SUMIFS($J$5:J160,$C$5:C160,C160))</f>
        <v/>
      </c>
      <c r="L160" s="13" t="str">
        <f t="shared" si="9"/>
        <v/>
      </c>
      <c r="M160" s="12"/>
      <c r="N160" s="13"/>
    </row>
    <row r="161" spans="1:14" x14ac:dyDescent="0.25">
      <c r="A161" s="12" t="str">
        <f t="shared" si="8"/>
        <v/>
      </c>
      <c r="B161" s="12"/>
      <c r="C161" s="12"/>
      <c r="D161" s="12"/>
      <c r="E161" s="12"/>
      <c r="F161" s="12"/>
      <c r="G161" s="12"/>
      <c r="H161" s="13" t="str">
        <f>IFERROR(INDEX('Master Pelanggaran'!$D$2:$D$73,MATCH(G161,'Master Pelanggaran'!$B$2:$B$73,0)),"")</f>
        <v/>
      </c>
      <c r="I161" s="12" t="str">
        <f>IFERROR(INDEX('Master Pelanggaran'!$C$2:$C$73,MATCH(G161,'Master Pelanggaran'!$B$2:$B$73,0)),"")</f>
        <v/>
      </c>
      <c r="J161" s="12" t="str">
        <f>IFERROR(INDEX('Master Pelanggaran'!$E$2:$E$73,MATCH(G161,'Master Pelanggaran'!$B$2:$B$73,0)),"")</f>
        <v/>
      </c>
      <c r="K161" s="12" t="str">
        <f>IF(C161="","",SUMIFS($J$5:J161,$C$5:C161,C161))</f>
        <v/>
      </c>
      <c r="L161" s="13" t="str">
        <f t="shared" si="9"/>
        <v/>
      </c>
      <c r="M161" s="12"/>
      <c r="N161" s="13"/>
    </row>
    <row r="162" spans="1:14" x14ac:dyDescent="0.25">
      <c r="A162" s="12" t="str">
        <f t="shared" si="8"/>
        <v/>
      </c>
      <c r="B162" s="12"/>
      <c r="C162" s="12"/>
      <c r="D162" s="12"/>
      <c r="E162" s="12"/>
      <c r="F162" s="12"/>
      <c r="G162" s="12"/>
      <c r="H162" s="13" t="str">
        <f>IFERROR(INDEX('Master Pelanggaran'!$D$2:$D$73,MATCH(G162,'Master Pelanggaran'!$B$2:$B$73,0)),"")</f>
        <v/>
      </c>
      <c r="I162" s="12" t="str">
        <f>IFERROR(INDEX('Master Pelanggaran'!$C$2:$C$73,MATCH(G162,'Master Pelanggaran'!$B$2:$B$73,0)),"")</f>
        <v/>
      </c>
      <c r="J162" s="12" t="str">
        <f>IFERROR(INDEX('Master Pelanggaran'!$E$2:$E$73,MATCH(G162,'Master Pelanggaran'!$B$2:$B$73,0)),"")</f>
        <v/>
      </c>
      <c r="K162" s="12" t="str">
        <f>IF(C162="","",SUMIFS($J$5:J162,$C$5:C162,C162))</f>
        <v/>
      </c>
      <c r="L162" s="13" t="str">
        <f t="shared" si="9"/>
        <v/>
      </c>
      <c r="M162" s="12"/>
      <c r="N162" s="13"/>
    </row>
    <row r="163" spans="1:14" x14ac:dyDescent="0.25">
      <c r="A163" s="12" t="str">
        <f t="shared" si="8"/>
        <v/>
      </c>
      <c r="B163" s="12"/>
      <c r="C163" s="12"/>
      <c r="D163" s="12"/>
      <c r="E163" s="12"/>
      <c r="F163" s="12"/>
      <c r="G163" s="12"/>
      <c r="H163" s="13" t="str">
        <f>IFERROR(INDEX('Master Pelanggaran'!$D$2:$D$73,MATCH(G163,'Master Pelanggaran'!$B$2:$B$73,0)),"")</f>
        <v/>
      </c>
      <c r="I163" s="12" t="str">
        <f>IFERROR(INDEX('Master Pelanggaran'!$C$2:$C$73,MATCH(G163,'Master Pelanggaran'!$B$2:$B$73,0)),"")</f>
        <v/>
      </c>
      <c r="J163" s="12" t="str">
        <f>IFERROR(INDEX('Master Pelanggaran'!$E$2:$E$73,MATCH(G163,'Master Pelanggaran'!$B$2:$B$73,0)),"")</f>
        <v/>
      </c>
      <c r="K163" s="12" t="str">
        <f>IF(C163="","",SUMIFS($J$5:J163,$C$5:C163,C163))</f>
        <v/>
      </c>
      <c r="L163" s="13" t="str">
        <f t="shared" si="9"/>
        <v/>
      </c>
      <c r="M163" s="12"/>
      <c r="N163" s="13"/>
    </row>
    <row r="164" spans="1:14" x14ac:dyDescent="0.25">
      <c r="A164" s="12" t="str">
        <f t="shared" si="8"/>
        <v/>
      </c>
      <c r="B164" s="12"/>
      <c r="C164" s="12"/>
      <c r="D164" s="12"/>
      <c r="E164" s="12"/>
      <c r="F164" s="12"/>
      <c r="G164" s="12"/>
      <c r="H164" s="13" t="str">
        <f>IFERROR(INDEX('Master Pelanggaran'!$D$2:$D$73,MATCH(G164,'Master Pelanggaran'!$B$2:$B$73,0)),"")</f>
        <v/>
      </c>
      <c r="I164" s="12" t="str">
        <f>IFERROR(INDEX('Master Pelanggaran'!$C$2:$C$73,MATCH(G164,'Master Pelanggaran'!$B$2:$B$73,0)),"")</f>
        <v/>
      </c>
      <c r="J164" s="12" t="str">
        <f>IFERROR(INDEX('Master Pelanggaran'!$E$2:$E$73,MATCH(G164,'Master Pelanggaran'!$B$2:$B$73,0)),"")</f>
        <v/>
      </c>
      <c r="K164" s="12" t="str">
        <f>IF(C164="","",SUMIFS($J$5:J164,$C$5:C164,C164))</f>
        <v/>
      </c>
      <c r="L164" s="13" t="str">
        <f t="shared" si="9"/>
        <v/>
      </c>
      <c r="M164" s="12"/>
      <c r="N164" s="13"/>
    </row>
    <row r="165" spans="1:14" x14ac:dyDescent="0.25">
      <c r="A165" s="12" t="str">
        <f t="shared" ref="A165:A196" si="10">IF(C165="","",ROW()-4)</f>
        <v/>
      </c>
      <c r="B165" s="12"/>
      <c r="C165" s="12"/>
      <c r="D165" s="12"/>
      <c r="E165" s="12"/>
      <c r="F165" s="12"/>
      <c r="G165" s="12"/>
      <c r="H165" s="13" t="str">
        <f>IFERROR(INDEX('Master Pelanggaran'!$D$2:$D$73,MATCH(G165,'Master Pelanggaran'!$B$2:$B$73,0)),"")</f>
        <v/>
      </c>
      <c r="I165" s="12" t="str">
        <f>IFERROR(INDEX('Master Pelanggaran'!$C$2:$C$73,MATCH(G165,'Master Pelanggaran'!$B$2:$B$73,0)),"")</f>
        <v/>
      </c>
      <c r="J165" s="12" t="str">
        <f>IFERROR(INDEX('Master Pelanggaran'!$E$2:$E$73,MATCH(G165,'Master Pelanggaran'!$B$2:$B$73,0)),"")</f>
        <v/>
      </c>
      <c r="K165" s="12" t="str">
        <f>IF(C165="","",SUMIFS($J$5:J165,$C$5:C165,C165))</f>
        <v/>
      </c>
      <c r="L165" s="13" t="str">
        <f t="shared" ref="L165:L196" si="11">IF(K165="","",IF(K165&gt;=100,"Dikembalikan ke orang tua",IF(K165&gt;=75,"Pemanggilan ortu (perjanjian); Pendampingan ahli; Wajib lapor shalat jama'ah; Larangan keluar 3 bulan",IF(K165&gt;=51,"Pemanggilan ortu (pernyataan); Digundul; Wajib lapor shalat 30 hari; Menghafal/menulis surat pilihan",IF(K165&gt;=35,"Pemanggilan ortu (peringatan); Digundul/jilbab pembinaan; Menghafal Juz 30/surat pilihan",IF(K165&gt;=21,"Pemberitahuan orang tua; Roan","Roan (Pembinaan)"))))))</f>
        <v/>
      </c>
      <c r="M165" s="12"/>
      <c r="N165" s="13"/>
    </row>
    <row r="166" spans="1:14" x14ac:dyDescent="0.25">
      <c r="A166" s="12" t="str">
        <f t="shared" si="10"/>
        <v/>
      </c>
      <c r="B166" s="12"/>
      <c r="C166" s="12"/>
      <c r="D166" s="12"/>
      <c r="E166" s="12"/>
      <c r="F166" s="12"/>
      <c r="G166" s="12"/>
      <c r="H166" s="13" t="str">
        <f>IFERROR(INDEX('Master Pelanggaran'!$D$2:$D$73,MATCH(G166,'Master Pelanggaran'!$B$2:$B$73,0)),"")</f>
        <v/>
      </c>
      <c r="I166" s="12" t="str">
        <f>IFERROR(INDEX('Master Pelanggaran'!$C$2:$C$73,MATCH(G166,'Master Pelanggaran'!$B$2:$B$73,0)),"")</f>
        <v/>
      </c>
      <c r="J166" s="12" t="str">
        <f>IFERROR(INDEX('Master Pelanggaran'!$E$2:$E$73,MATCH(G166,'Master Pelanggaran'!$B$2:$B$73,0)),"")</f>
        <v/>
      </c>
      <c r="K166" s="12" t="str">
        <f>IF(C166="","",SUMIFS($J$5:J166,$C$5:C166,C166))</f>
        <v/>
      </c>
      <c r="L166" s="13" t="str">
        <f t="shared" si="11"/>
        <v/>
      </c>
      <c r="M166" s="12"/>
      <c r="N166" s="13"/>
    </row>
    <row r="167" spans="1:14" x14ac:dyDescent="0.25">
      <c r="A167" s="12" t="str">
        <f t="shared" si="10"/>
        <v/>
      </c>
      <c r="B167" s="12"/>
      <c r="C167" s="12"/>
      <c r="D167" s="12"/>
      <c r="E167" s="12"/>
      <c r="F167" s="12"/>
      <c r="G167" s="12"/>
      <c r="H167" s="13" t="str">
        <f>IFERROR(INDEX('Master Pelanggaran'!$D$2:$D$73,MATCH(G167,'Master Pelanggaran'!$B$2:$B$73,0)),"")</f>
        <v/>
      </c>
      <c r="I167" s="12" t="str">
        <f>IFERROR(INDEX('Master Pelanggaran'!$C$2:$C$73,MATCH(G167,'Master Pelanggaran'!$B$2:$B$73,0)),"")</f>
        <v/>
      </c>
      <c r="J167" s="12" t="str">
        <f>IFERROR(INDEX('Master Pelanggaran'!$E$2:$E$73,MATCH(G167,'Master Pelanggaran'!$B$2:$B$73,0)),"")</f>
        <v/>
      </c>
      <c r="K167" s="12" t="str">
        <f>IF(C167="","",SUMIFS($J$5:J167,$C$5:C167,C167))</f>
        <v/>
      </c>
      <c r="L167" s="13" t="str">
        <f t="shared" si="11"/>
        <v/>
      </c>
      <c r="M167" s="12"/>
      <c r="N167" s="13"/>
    </row>
    <row r="168" spans="1:14" x14ac:dyDescent="0.25">
      <c r="A168" s="12" t="str">
        <f t="shared" si="10"/>
        <v/>
      </c>
      <c r="B168" s="12"/>
      <c r="C168" s="12"/>
      <c r="D168" s="12"/>
      <c r="E168" s="12"/>
      <c r="F168" s="12"/>
      <c r="G168" s="12"/>
      <c r="H168" s="13" t="str">
        <f>IFERROR(INDEX('Master Pelanggaran'!$D$2:$D$73,MATCH(G168,'Master Pelanggaran'!$B$2:$B$73,0)),"")</f>
        <v/>
      </c>
      <c r="I168" s="12" t="str">
        <f>IFERROR(INDEX('Master Pelanggaran'!$C$2:$C$73,MATCH(G168,'Master Pelanggaran'!$B$2:$B$73,0)),"")</f>
        <v/>
      </c>
      <c r="J168" s="12" t="str">
        <f>IFERROR(INDEX('Master Pelanggaran'!$E$2:$E$73,MATCH(G168,'Master Pelanggaran'!$B$2:$B$73,0)),"")</f>
        <v/>
      </c>
      <c r="K168" s="12" t="str">
        <f>IF(C168="","",SUMIFS($J$5:J168,$C$5:C168,C168))</f>
        <v/>
      </c>
      <c r="L168" s="13" t="str">
        <f t="shared" si="11"/>
        <v/>
      </c>
      <c r="M168" s="12"/>
      <c r="N168" s="13"/>
    </row>
    <row r="169" spans="1:14" x14ac:dyDescent="0.25">
      <c r="A169" s="12" t="str">
        <f t="shared" si="10"/>
        <v/>
      </c>
      <c r="B169" s="12"/>
      <c r="C169" s="12"/>
      <c r="D169" s="12"/>
      <c r="E169" s="12"/>
      <c r="F169" s="12"/>
      <c r="G169" s="12"/>
      <c r="H169" s="13" t="str">
        <f>IFERROR(INDEX('Master Pelanggaran'!$D$2:$D$73,MATCH(G169,'Master Pelanggaran'!$B$2:$B$73,0)),"")</f>
        <v/>
      </c>
      <c r="I169" s="12" t="str">
        <f>IFERROR(INDEX('Master Pelanggaran'!$C$2:$C$73,MATCH(G169,'Master Pelanggaran'!$B$2:$B$73,0)),"")</f>
        <v/>
      </c>
      <c r="J169" s="12" t="str">
        <f>IFERROR(INDEX('Master Pelanggaran'!$E$2:$E$73,MATCH(G169,'Master Pelanggaran'!$B$2:$B$73,0)),"")</f>
        <v/>
      </c>
      <c r="K169" s="12" t="str">
        <f>IF(C169="","",SUMIFS($J$5:J169,$C$5:C169,C169))</f>
        <v/>
      </c>
      <c r="L169" s="13" t="str">
        <f t="shared" si="11"/>
        <v/>
      </c>
      <c r="M169" s="12"/>
      <c r="N169" s="13"/>
    </row>
    <row r="170" spans="1:14" x14ac:dyDescent="0.25">
      <c r="A170" s="12" t="str">
        <f t="shared" si="10"/>
        <v/>
      </c>
      <c r="B170" s="12"/>
      <c r="C170" s="12"/>
      <c r="D170" s="12"/>
      <c r="E170" s="12"/>
      <c r="F170" s="12"/>
      <c r="G170" s="12"/>
      <c r="H170" s="13" t="str">
        <f>IFERROR(INDEX('Master Pelanggaran'!$D$2:$D$73,MATCH(G170,'Master Pelanggaran'!$B$2:$B$73,0)),"")</f>
        <v/>
      </c>
      <c r="I170" s="12" t="str">
        <f>IFERROR(INDEX('Master Pelanggaran'!$C$2:$C$73,MATCH(G170,'Master Pelanggaran'!$B$2:$B$73,0)),"")</f>
        <v/>
      </c>
      <c r="J170" s="12" t="str">
        <f>IFERROR(INDEX('Master Pelanggaran'!$E$2:$E$73,MATCH(G170,'Master Pelanggaran'!$B$2:$B$73,0)),"")</f>
        <v/>
      </c>
      <c r="K170" s="12" t="str">
        <f>IF(C170="","",SUMIFS($J$5:J170,$C$5:C170,C170))</f>
        <v/>
      </c>
      <c r="L170" s="13" t="str">
        <f t="shared" si="11"/>
        <v/>
      </c>
      <c r="M170" s="12"/>
      <c r="N170" s="13"/>
    </row>
    <row r="171" spans="1:14" x14ac:dyDescent="0.25">
      <c r="A171" s="12" t="str">
        <f t="shared" si="10"/>
        <v/>
      </c>
      <c r="B171" s="12"/>
      <c r="C171" s="12"/>
      <c r="D171" s="12"/>
      <c r="E171" s="12"/>
      <c r="F171" s="12"/>
      <c r="G171" s="12"/>
      <c r="H171" s="13" t="str">
        <f>IFERROR(INDEX('Master Pelanggaran'!$D$2:$D$73,MATCH(G171,'Master Pelanggaran'!$B$2:$B$73,0)),"")</f>
        <v/>
      </c>
      <c r="I171" s="12" t="str">
        <f>IFERROR(INDEX('Master Pelanggaran'!$C$2:$C$73,MATCH(G171,'Master Pelanggaran'!$B$2:$B$73,0)),"")</f>
        <v/>
      </c>
      <c r="J171" s="12" t="str">
        <f>IFERROR(INDEX('Master Pelanggaran'!$E$2:$E$73,MATCH(G171,'Master Pelanggaran'!$B$2:$B$73,0)),"")</f>
        <v/>
      </c>
      <c r="K171" s="12" t="str">
        <f>IF(C171="","",SUMIFS($J$5:J171,$C$5:C171,C171))</f>
        <v/>
      </c>
      <c r="L171" s="13" t="str">
        <f t="shared" si="11"/>
        <v/>
      </c>
      <c r="M171" s="12"/>
      <c r="N171" s="13"/>
    </row>
    <row r="172" spans="1:14" x14ac:dyDescent="0.25">
      <c r="A172" s="12" t="str">
        <f t="shared" si="10"/>
        <v/>
      </c>
      <c r="B172" s="12"/>
      <c r="C172" s="12"/>
      <c r="D172" s="12"/>
      <c r="E172" s="12"/>
      <c r="F172" s="12"/>
      <c r="G172" s="12"/>
      <c r="H172" s="13" t="str">
        <f>IFERROR(INDEX('Master Pelanggaran'!$D$2:$D$73,MATCH(G172,'Master Pelanggaran'!$B$2:$B$73,0)),"")</f>
        <v/>
      </c>
      <c r="I172" s="12" t="str">
        <f>IFERROR(INDEX('Master Pelanggaran'!$C$2:$C$73,MATCH(G172,'Master Pelanggaran'!$B$2:$B$73,0)),"")</f>
        <v/>
      </c>
      <c r="J172" s="12" t="str">
        <f>IFERROR(INDEX('Master Pelanggaran'!$E$2:$E$73,MATCH(G172,'Master Pelanggaran'!$B$2:$B$73,0)),"")</f>
        <v/>
      </c>
      <c r="K172" s="12" t="str">
        <f>IF(C172="","",SUMIFS($J$5:J172,$C$5:C172,C172))</f>
        <v/>
      </c>
      <c r="L172" s="13" t="str">
        <f t="shared" si="11"/>
        <v/>
      </c>
      <c r="M172" s="12"/>
      <c r="N172" s="13"/>
    </row>
    <row r="173" spans="1:14" x14ac:dyDescent="0.25">
      <c r="A173" s="12" t="str">
        <f t="shared" si="10"/>
        <v/>
      </c>
      <c r="B173" s="12"/>
      <c r="C173" s="12"/>
      <c r="D173" s="12"/>
      <c r="E173" s="12"/>
      <c r="F173" s="12"/>
      <c r="G173" s="12"/>
      <c r="H173" s="13" t="str">
        <f>IFERROR(INDEX('Master Pelanggaran'!$D$2:$D$73,MATCH(G173,'Master Pelanggaran'!$B$2:$B$73,0)),"")</f>
        <v/>
      </c>
      <c r="I173" s="12" t="str">
        <f>IFERROR(INDEX('Master Pelanggaran'!$C$2:$C$73,MATCH(G173,'Master Pelanggaran'!$B$2:$B$73,0)),"")</f>
        <v/>
      </c>
      <c r="J173" s="12" t="str">
        <f>IFERROR(INDEX('Master Pelanggaran'!$E$2:$E$73,MATCH(G173,'Master Pelanggaran'!$B$2:$B$73,0)),"")</f>
        <v/>
      </c>
      <c r="K173" s="12" t="str">
        <f>IF(C173="","",SUMIFS($J$5:J173,$C$5:C173,C173))</f>
        <v/>
      </c>
      <c r="L173" s="13" t="str">
        <f t="shared" si="11"/>
        <v/>
      </c>
      <c r="M173" s="12"/>
      <c r="N173" s="13"/>
    </row>
    <row r="174" spans="1:14" x14ac:dyDescent="0.25">
      <c r="A174" s="12" t="str">
        <f t="shared" si="10"/>
        <v/>
      </c>
      <c r="B174" s="12"/>
      <c r="C174" s="12"/>
      <c r="D174" s="12"/>
      <c r="E174" s="12"/>
      <c r="F174" s="12"/>
      <c r="G174" s="12"/>
      <c r="H174" s="13" t="str">
        <f>IFERROR(INDEX('Master Pelanggaran'!$D$2:$D$73,MATCH(G174,'Master Pelanggaran'!$B$2:$B$73,0)),"")</f>
        <v/>
      </c>
      <c r="I174" s="12" t="str">
        <f>IFERROR(INDEX('Master Pelanggaran'!$C$2:$C$73,MATCH(G174,'Master Pelanggaran'!$B$2:$B$73,0)),"")</f>
        <v/>
      </c>
      <c r="J174" s="12" t="str">
        <f>IFERROR(INDEX('Master Pelanggaran'!$E$2:$E$73,MATCH(G174,'Master Pelanggaran'!$B$2:$B$73,0)),"")</f>
        <v/>
      </c>
      <c r="K174" s="12" t="str">
        <f>IF(C174="","",SUMIFS($J$5:J174,$C$5:C174,C174))</f>
        <v/>
      </c>
      <c r="L174" s="13" t="str">
        <f t="shared" si="11"/>
        <v/>
      </c>
      <c r="M174" s="12"/>
      <c r="N174" s="13"/>
    </row>
    <row r="175" spans="1:14" x14ac:dyDescent="0.25">
      <c r="A175" s="12" t="str">
        <f t="shared" si="10"/>
        <v/>
      </c>
      <c r="B175" s="12"/>
      <c r="C175" s="12"/>
      <c r="D175" s="12"/>
      <c r="E175" s="12"/>
      <c r="F175" s="12"/>
      <c r="G175" s="12"/>
      <c r="H175" s="13" t="str">
        <f>IFERROR(INDEX('Master Pelanggaran'!$D$2:$D$73,MATCH(G175,'Master Pelanggaran'!$B$2:$B$73,0)),"")</f>
        <v/>
      </c>
      <c r="I175" s="12" t="str">
        <f>IFERROR(INDEX('Master Pelanggaran'!$C$2:$C$73,MATCH(G175,'Master Pelanggaran'!$B$2:$B$73,0)),"")</f>
        <v/>
      </c>
      <c r="J175" s="12" t="str">
        <f>IFERROR(INDEX('Master Pelanggaran'!$E$2:$E$73,MATCH(G175,'Master Pelanggaran'!$B$2:$B$73,0)),"")</f>
        <v/>
      </c>
      <c r="K175" s="12" t="str">
        <f>IF(C175="","",SUMIFS($J$5:J175,$C$5:C175,C175))</f>
        <v/>
      </c>
      <c r="L175" s="13" t="str">
        <f t="shared" si="11"/>
        <v/>
      </c>
      <c r="M175" s="12"/>
      <c r="N175" s="13"/>
    </row>
    <row r="176" spans="1:14" x14ac:dyDescent="0.25">
      <c r="A176" s="12" t="str">
        <f t="shared" si="10"/>
        <v/>
      </c>
      <c r="B176" s="12"/>
      <c r="C176" s="12"/>
      <c r="D176" s="12"/>
      <c r="E176" s="12"/>
      <c r="F176" s="12"/>
      <c r="G176" s="12"/>
      <c r="H176" s="13" t="str">
        <f>IFERROR(INDEX('Master Pelanggaran'!$D$2:$D$73,MATCH(G176,'Master Pelanggaran'!$B$2:$B$73,0)),"")</f>
        <v/>
      </c>
      <c r="I176" s="12" t="str">
        <f>IFERROR(INDEX('Master Pelanggaran'!$C$2:$C$73,MATCH(G176,'Master Pelanggaran'!$B$2:$B$73,0)),"")</f>
        <v/>
      </c>
      <c r="J176" s="12" t="str">
        <f>IFERROR(INDEX('Master Pelanggaran'!$E$2:$E$73,MATCH(G176,'Master Pelanggaran'!$B$2:$B$73,0)),"")</f>
        <v/>
      </c>
      <c r="K176" s="12" t="str">
        <f>IF(C176="","",SUMIFS($J$5:J176,$C$5:C176,C176))</f>
        <v/>
      </c>
      <c r="L176" s="13" t="str">
        <f t="shared" si="11"/>
        <v/>
      </c>
      <c r="M176" s="12"/>
      <c r="N176" s="13"/>
    </row>
    <row r="177" spans="1:14" x14ac:dyDescent="0.25">
      <c r="A177" s="12" t="str">
        <f t="shared" si="10"/>
        <v/>
      </c>
      <c r="B177" s="12"/>
      <c r="C177" s="12"/>
      <c r="D177" s="12"/>
      <c r="E177" s="12"/>
      <c r="F177" s="12"/>
      <c r="G177" s="12"/>
      <c r="H177" s="13" t="str">
        <f>IFERROR(INDEX('Master Pelanggaran'!$D$2:$D$73,MATCH(G177,'Master Pelanggaran'!$B$2:$B$73,0)),"")</f>
        <v/>
      </c>
      <c r="I177" s="12" t="str">
        <f>IFERROR(INDEX('Master Pelanggaran'!$C$2:$C$73,MATCH(G177,'Master Pelanggaran'!$B$2:$B$73,0)),"")</f>
        <v/>
      </c>
      <c r="J177" s="12" t="str">
        <f>IFERROR(INDEX('Master Pelanggaran'!$E$2:$E$73,MATCH(G177,'Master Pelanggaran'!$B$2:$B$73,0)),"")</f>
        <v/>
      </c>
      <c r="K177" s="12" t="str">
        <f>IF(C177="","",SUMIFS($J$5:J177,$C$5:C177,C177))</f>
        <v/>
      </c>
      <c r="L177" s="13" t="str">
        <f t="shared" si="11"/>
        <v/>
      </c>
      <c r="M177" s="12"/>
      <c r="N177" s="13"/>
    </row>
    <row r="178" spans="1:14" x14ac:dyDescent="0.25">
      <c r="A178" s="12" t="str">
        <f t="shared" si="10"/>
        <v/>
      </c>
      <c r="B178" s="12"/>
      <c r="C178" s="12"/>
      <c r="D178" s="12"/>
      <c r="E178" s="12"/>
      <c r="F178" s="12"/>
      <c r="G178" s="12"/>
      <c r="H178" s="13" t="str">
        <f>IFERROR(INDEX('Master Pelanggaran'!$D$2:$D$73,MATCH(G178,'Master Pelanggaran'!$B$2:$B$73,0)),"")</f>
        <v/>
      </c>
      <c r="I178" s="12" t="str">
        <f>IFERROR(INDEX('Master Pelanggaran'!$C$2:$C$73,MATCH(G178,'Master Pelanggaran'!$B$2:$B$73,0)),"")</f>
        <v/>
      </c>
      <c r="J178" s="12" t="str">
        <f>IFERROR(INDEX('Master Pelanggaran'!$E$2:$E$73,MATCH(G178,'Master Pelanggaran'!$B$2:$B$73,0)),"")</f>
        <v/>
      </c>
      <c r="K178" s="12" t="str">
        <f>IF(C178="","",SUMIFS($J$5:J178,$C$5:C178,C178))</f>
        <v/>
      </c>
      <c r="L178" s="13" t="str">
        <f t="shared" si="11"/>
        <v/>
      </c>
      <c r="M178" s="12"/>
      <c r="N178" s="13"/>
    </row>
    <row r="179" spans="1:14" x14ac:dyDescent="0.25">
      <c r="A179" s="12" t="str">
        <f t="shared" si="10"/>
        <v/>
      </c>
      <c r="B179" s="12"/>
      <c r="C179" s="12"/>
      <c r="D179" s="12"/>
      <c r="E179" s="12"/>
      <c r="F179" s="12"/>
      <c r="G179" s="12"/>
      <c r="H179" s="13" t="str">
        <f>IFERROR(INDEX('Master Pelanggaran'!$D$2:$D$73,MATCH(G179,'Master Pelanggaran'!$B$2:$B$73,0)),"")</f>
        <v/>
      </c>
      <c r="I179" s="12" t="str">
        <f>IFERROR(INDEX('Master Pelanggaran'!$C$2:$C$73,MATCH(G179,'Master Pelanggaran'!$B$2:$B$73,0)),"")</f>
        <v/>
      </c>
      <c r="J179" s="12" t="str">
        <f>IFERROR(INDEX('Master Pelanggaran'!$E$2:$E$73,MATCH(G179,'Master Pelanggaran'!$B$2:$B$73,0)),"")</f>
        <v/>
      </c>
      <c r="K179" s="12" t="str">
        <f>IF(C179="","",SUMIFS($J$5:J179,$C$5:C179,C179))</f>
        <v/>
      </c>
      <c r="L179" s="13" t="str">
        <f t="shared" si="11"/>
        <v/>
      </c>
      <c r="M179" s="12"/>
      <c r="N179" s="13"/>
    </row>
    <row r="180" spans="1:14" x14ac:dyDescent="0.25">
      <c r="A180" s="12" t="str">
        <f t="shared" si="10"/>
        <v/>
      </c>
      <c r="B180" s="12"/>
      <c r="C180" s="12"/>
      <c r="D180" s="12"/>
      <c r="E180" s="12"/>
      <c r="F180" s="12"/>
      <c r="G180" s="12"/>
      <c r="H180" s="13" t="str">
        <f>IFERROR(INDEX('Master Pelanggaran'!$D$2:$D$73,MATCH(G180,'Master Pelanggaran'!$B$2:$B$73,0)),"")</f>
        <v/>
      </c>
      <c r="I180" s="12" t="str">
        <f>IFERROR(INDEX('Master Pelanggaran'!$C$2:$C$73,MATCH(G180,'Master Pelanggaran'!$B$2:$B$73,0)),"")</f>
        <v/>
      </c>
      <c r="J180" s="12" t="str">
        <f>IFERROR(INDEX('Master Pelanggaran'!$E$2:$E$73,MATCH(G180,'Master Pelanggaran'!$B$2:$B$73,0)),"")</f>
        <v/>
      </c>
      <c r="K180" s="12" t="str">
        <f>IF(C180="","",SUMIFS($J$5:J180,$C$5:C180,C180))</f>
        <v/>
      </c>
      <c r="L180" s="13" t="str">
        <f t="shared" si="11"/>
        <v/>
      </c>
      <c r="M180" s="12"/>
      <c r="N180" s="13"/>
    </row>
    <row r="181" spans="1:14" x14ac:dyDescent="0.25">
      <c r="A181" s="12" t="str">
        <f t="shared" si="10"/>
        <v/>
      </c>
      <c r="B181" s="12"/>
      <c r="C181" s="12"/>
      <c r="D181" s="12"/>
      <c r="E181" s="12"/>
      <c r="F181" s="12"/>
      <c r="G181" s="12"/>
      <c r="H181" s="13" t="str">
        <f>IFERROR(INDEX('Master Pelanggaran'!$D$2:$D$73,MATCH(G181,'Master Pelanggaran'!$B$2:$B$73,0)),"")</f>
        <v/>
      </c>
      <c r="I181" s="12" t="str">
        <f>IFERROR(INDEX('Master Pelanggaran'!$C$2:$C$73,MATCH(G181,'Master Pelanggaran'!$B$2:$B$73,0)),"")</f>
        <v/>
      </c>
      <c r="J181" s="12" t="str">
        <f>IFERROR(INDEX('Master Pelanggaran'!$E$2:$E$73,MATCH(G181,'Master Pelanggaran'!$B$2:$B$73,0)),"")</f>
        <v/>
      </c>
      <c r="K181" s="12" t="str">
        <f>IF(C181="","",SUMIFS($J$5:J181,$C$5:C181,C181))</f>
        <v/>
      </c>
      <c r="L181" s="13" t="str">
        <f t="shared" si="11"/>
        <v/>
      </c>
      <c r="M181" s="12"/>
      <c r="N181" s="13"/>
    </row>
    <row r="182" spans="1:14" x14ac:dyDescent="0.25">
      <c r="A182" s="12" t="str">
        <f t="shared" si="10"/>
        <v/>
      </c>
      <c r="B182" s="12"/>
      <c r="C182" s="12"/>
      <c r="D182" s="12"/>
      <c r="E182" s="12"/>
      <c r="F182" s="12"/>
      <c r="G182" s="12"/>
      <c r="H182" s="13" t="str">
        <f>IFERROR(INDEX('Master Pelanggaran'!$D$2:$D$73,MATCH(G182,'Master Pelanggaran'!$B$2:$B$73,0)),"")</f>
        <v/>
      </c>
      <c r="I182" s="12" t="str">
        <f>IFERROR(INDEX('Master Pelanggaran'!$C$2:$C$73,MATCH(G182,'Master Pelanggaran'!$B$2:$B$73,0)),"")</f>
        <v/>
      </c>
      <c r="J182" s="12" t="str">
        <f>IFERROR(INDEX('Master Pelanggaran'!$E$2:$E$73,MATCH(G182,'Master Pelanggaran'!$B$2:$B$73,0)),"")</f>
        <v/>
      </c>
      <c r="K182" s="12" t="str">
        <f>IF(C182="","",SUMIFS($J$5:J182,$C$5:C182,C182))</f>
        <v/>
      </c>
      <c r="L182" s="13" t="str">
        <f t="shared" si="11"/>
        <v/>
      </c>
      <c r="M182" s="12"/>
      <c r="N182" s="13"/>
    </row>
    <row r="183" spans="1:14" x14ac:dyDescent="0.25">
      <c r="A183" s="12" t="str">
        <f t="shared" si="10"/>
        <v/>
      </c>
      <c r="B183" s="12"/>
      <c r="C183" s="12"/>
      <c r="D183" s="12"/>
      <c r="E183" s="12"/>
      <c r="F183" s="12"/>
      <c r="G183" s="12"/>
      <c r="H183" s="13" t="str">
        <f>IFERROR(INDEX('Master Pelanggaran'!$D$2:$D$73,MATCH(G183,'Master Pelanggaran'!$B$2:$B$73,0)),"")</f>
        <v/>
      </c>
      <c r="I183" s="12" t="str">
        <f>IFERROR(INDEX('Master Pelanggaran'!$C$2:$C$73,MATCH(G183,'Master Pelanggaran'!$B$2:$B$73,0)),"")</f>
        <v/>
      </c>
      <c r="J183" s="12" t="str">
        <f>IFERROR(INDEX('Master Pelanggaran'!$E$2:$E$73,MATCH(G183,'Master Pelanggaran'!$B$2:$B$73,0)),"")</f>
        <v/>
      </c>
      <c r="K183" s="12" t="str">
        <f>IF(C183="","",SUMIFS($J$5:J183,$C$5:C183,C183))</f>
        <v/>
      </c>
      <c r="L183" s="13" t="str">
        <f t="shared" si="11"/>
        <v/>
      </c>
      <c r="M183" s="12"/>
      <c r="N183" s="13"/>
    </row>
    <row r="184" spans="1:14" x14ac:dyDescent="0.25">
      <c r="A184" s="12" t="str">
        <f t="shared" si="10"/>
        <v/>
      </c>
      <c r="B184" s="12"/>
      <c r="C184" s="12"/>
      <c r="D184" s="12"/>
      <c r="E184" s="12"/>
      <c r="F184" s="12"/>
      <c r="G184" s="12"/>
      <c r="H184" s="13" t="str">
        <f>IFERROR(INDEX('Master Pelanggaran'!$D$2:$D$73,MATCH(G184,'Master Pelanggaran'!$B$2:$B$73,0)),"")</f>
        <v/>
      </c>
      <c r="I184" s="12" t="str">
        <f>IFERROR(INDEX('Master Pelanggaran'!$C$2:$C$73,MATCH(G184,'Master Pelanggaran'!$B$2:$B$73,0)),"")</f>
        <v/>
      </c>
      <c r="J184" s="12" t="str">
        <f>IFERROR(INDEX('Master Pelanggaran'!$E$2:$E$73,MATCH(G184,'Master Pelanggaran'!$B$2:$B$73,0)),"")</f>
        <v/>
      </c>
      <c r="K184" s="12" t="str">
        <f>IF(C184="","",SUMIFS($J$5:J184,$C$5:C184,C184))</f>
        <v/>
      </c>
      <c r="L184" s="13" t="str">
        <f t="shared" si="11"/>
        <v/>
      </c>
      <c r="M184" s="12"/>
      <c r="N184" s="13"/>
    </row>
    <row r="185" spans="1:14" x14ac:dyDescent="0.25">
      <c r="A185" s="12" t="str">
        <f t="shared" si="10"/>
        <v/>
      </c>
      <c r="B185" s="12"/>
      <c r="C185" s="12"/>
      <c r="D185" s="12"/>
      <c r="E185" s="12"/>
      <c r="F185" s="12"/>
      <c r="G185" s="12"/>
      <c r="H185" s="13" t="str">
        <f>IFERROR(INDEX('Master Pelanggaran'!$D$2:$D$73,MATCH(G185,'Master Pelanggaran'!$B$2:$B$73,0)),"")</f>
        <v/>
      </c>
      <c r="I185" s="12" t="str">
        <f>IFERROR(INDEX('Master Pelanggaran'!$C$2:$C$73,MATCH(G185,'Master Pelanggaran'!$B$2:$B$73,0)),"")</f>
        <v/>
      </c>
      <c r="J185" s="12" t="str">
        <f>IFERROR(INDEX('Master Pelanggaran'!$E$2:$E$73,MATCH(G185,'Master Pelanggaran'!$B$2:$B$73,0)),"")</f>
        <v/>
      </c>
      <c r="K185" s="12" t="str">
        <f>IF(C185="","",SUMIFS($J$5:J185,$C$5:C185,C185))</f>
        <v/>
      </c>
      <c r="L185" s="13" t="str">
        <f t="shared" si="11"/>
        <v/>
      </c>
      <c r="M185" s="12"/>
      <c r="N185" s="13"/>
    </row>
    <row r="186" spans="1:14" x14ac:dyDescent="0.25">
      <c r="A186" s="12" t="str">
        <f t="shared" si="10"/>
        <v/>
      </c>
      <c r="B186" s="12"/>
      <c r="C186" s="12"/>
      <c r="D186" s="12"/>
      <c r="E186" s="12"/>
      <c r="F186" s="12"/>
      <c r="G186" s="12"/>
      <c r="H186" s="13" t="str">
        <f>IFERROR(INDEX('Master Pelanggaran'!$D$2:$D$73,MATCH(G186,'Master Pelanggaran'!$B$2:$B$73,0)),"")</f>
        <v/>
      </c>
      <c r="I186" s="12" t="str">
        <f>IFERROR(INDEX('Master Pelanggaran'!$C$2:$C$73,MATCH(G186,'Master Pelanggaran'!$B$2:$B$73,0)),"")</f>
        <v/>
      </c>
      <c r="J186" s="12" t="str">
        <f>IFERROR(INDEX('Master Pelanggaran'!$E$2:$E$73,MATCH(G186,'Master Pelanggaran'!$B$2:$B$73,0)),"")</f>
        <v/>
      </c>
      <c r="K186" s="12" t="str">
        <f>IF(C186="","",SUMIFS($J$5:J186,$C$5:C186,C186))</f>
        <v/>
      </c>
      <c r="L186" s="13" t="str">
        <f t="shared" si="11"/>
        <v/>
      </c>
      <c r="M186" s="12"/>
      <c r="N186" s="13"/>
    </row>
    <row r="187" spans="1:14" x14ac:dyDescent="0.25">
      <c r="A187" s="12" t="str">
        <f t="shared" si="10"/>
        <v/>
      </c>
      <c r="B187" s="12"/>
      <c r="C187" s="12"/>
      <c r="D187" s="12"/>
      <c r="E187" s="12"/>
      <c r="F187" s="12"/>
      <c r="G187" s="12"/>
      <c r="H187" s="13" t="str">
        <f>IFERROR(INDEX('Master Pelanggaran'!$D$2:$D$73,MATCH(G187,'Master Pelanggaran'!$B$2:$B$73,0)),"")</f>
        <v/>
      </c>
      <c r="I187" s="12" t="str">
        <f>IFERROR(INDEX('Master Pelanggaran'!$C$2:$C$73,MATCH(G187,'Master Pelanggaran'!$B$2:$B$73,0)),"")</f>
        <v/>
      </c>
      <c r="J187" s="12" t="str">
        <f>IFERROR(INDEX('Master Pelanggaran'!$E$2:$E$73,MATCH(G187,'Master Pelanggaran'!$B$2:$B$73,0)),"")</f>
        <v/>
      </c>
      <c r="K187" s="12" t="str">
        <f>IF(C187="","",SUMIFS($J$5:J187,$C$5:C187,C187))</f>
        <v/>
      </c>
      <c r="L187" s="13" t="str">
        <f t="shared" si="11"/>
        <v/>
      </c>
      <c r="M187" s="12"/>
      <c r="N187" s="13"/>
    </row>
    <row r="188" spans="1:14" x14ac:dyDescent="0.25">
      <c r="A188" s="12" t="str">
        <f t="shared" si="10"/>
        <v/>
      </c>
      <c r="B188" s="12"/>
      <c r="C188" s="12"/>
      <c r="D188" s="12"/>
      <c r="E188" s="12"/>
      <c r="F188" s="12"/>
      <c r="G188" s="12"/>
      <c r="H188" s="13" t="str">
        <f>IFERROR(INDEX('Master Pelanggaran'!$D$2:$D$73,MATCH(G188,'Master Pelanggaran'!$B$2:$B$73,0)),"")</f>
        <v/>
      </c>
      <c r="I188" s="12" t="str">
        <f>IFERROR(INDEX('Master Pelanggaran'!$C$2:$C$73,MATCH(G188,'Master Pelanggaran'!$B$2:$B$73,0)),"")</f>
        <v/>
      </c>
      <c r="J188" s="12" t="str">
        <f>IFERROR(INDEX('Master Pelanggaran'!$E$2:$E$73,MATCH(G188,'Master Pelanggaran'!$B$2:$B$73,0)),"")</f>
        <v/>
      </c>
      <c r="K188" s="12" t="str">
        <f>IF(C188="","",SUMIFS($J$5:J188,$C$5:C188,C188))</f>
        <v/>
      </c>
      <c r="L188" s="13" t="str">
        <f t="shared" si="11"/>
        <v/>
      </c>
      <c r="M188" s="12"/>
      <c r="N188" s="13"/>
    </row>
    <row r="189" spans="1:14" x14ac:dyDescent="0.25">
      <c r="A189" s="12" t="str">
        <f t="shared" si="10"/>
        <v/>
      </c>
      <c r="B189" s="12"/>
      <c r="C189" s="12"/>
      <c r="D189" s="12"/>
      <c r="E189" s="12"/>
      <c r="F189" s="12"/>
      <c r="G189" s="12"/>
      <c r="H189" s="13" t="str">
        <f>IFERROR(INDEX('Master Pelanggaran'!$D$2:$D$73,MATCH(G189,'Master Pelanggaran'!$B$2:$B$73,0)),"")</f>
        <v/>
      </c>
      <c r="I189" s="12" t="str">
        <f>IFERROR(INDEX('Master Pelanggaran'!$C$2:$C$73,MATCH(G189,'Master Pelanggaran'!$B$2:$B$73,0)),"")</f>
        <v/>
      </c>
      <c r="J189" s="12" t="str">
        <f>IFERROR(INDEX('Master Pelanggaran'!$E$2:$E$73,MATCH(G189,'Master Pelanggaran'!$B$2:$B$73,0)),"")</f>
        <v/>
      </c>
      <c r="K189" s="12" t="str">
        <f>IF(C189="","",SUMIFS($J$5:J189,$C$5:C189,C189))</f>
        <v/>
      </c>
      <c r="L189" s="13" t="str">
        <f t="shared" si="11"/>
        <v/>
      </c>
      <c r="M189" s="12"/>
      <c r="N189" s="13"/>
    </row>
    <row r="190" spans="1:14" x14ac:dyDescent="0.25">
      <c r="A190" s="12" t="str">
        <f t="shared" si="10"/>
        <v/>
      </c>
      <c r="B190" s="12"/>
      <c r="C190" s="12"/>
      <c r="D190" s="12"/>
      <c r="E190" s="12"/>
      <c r="F190" s="12"/>
      <c r="G190" s="12"/>
      <c r="H190" s="13" t="str">
        <f>IFERROR(INDEX('Master Pelanggaran'!$D$2:$D$73,MATCH(G190,'Master Pelanggaran'!$B$2:$B$73,0)),"")</f>
        <v/>
      </c>
      <c r="I190" s="12" t="str">
        <f>IFERROR(INDEX('Master Pelanggaran'!$C$2:$C$73,MATCH(G190,'Master Pelanggaran'!$B$2:$B$73,0)),"")</f>
        <v/>
      </c>
      <c r="J190" s="12" t="str">
        <f>IFERROR(INDEX('Master Pelanggaran'!$E$2:$E$73,MATCH(G190,'Master Pelanggaran'!$B$2:$B$73,0)),"")</f>
        <v/>
      </c>
      <c r="K190" s="12" t="str">
        <f>IF(C190="","",SUMIFS($J$5:J190,$C$5:C190,C190))</f>
        <v/>
      </c>
      <c r="L190" s="13" t="str">
        <f t="shared" si="11"/>
        <v/>
      </c>
      <c r="M190" s="12"/>
      <c r="N190" s="13"/>
    </row>
    <row r="191" spans="1:14" x14ac:dyDescent="0.25">
      <c r="A191" s="12" t="str">
        <f t="shared" si="10"/>
        <v/>
      </c>
      <c r="B191" s="12"/>
      <c r="C191" s="12"/>
      <c r="D191" s="12"/>
      <c r="E191" s="12"/>
      <c r="F191" s="12"/>
      <c r="G191" s="12"/>
      <c r="H191" s="13" t="str">
        <f>IFERROR(INDEX('Master Pelanggaran'!$D$2:$D$73,MATCH(G191,'Master Pelanggaran'!$B$2:$B$73,0)),"")</f>
        <v/>
      </c>
      <c r="I191" s="12" t="str">
        <f>IFERROR(INDEX('Master Pelanggaran'!$C$2:$C$73,MATCH(G191,'Master Pelanggaran'!$B$2:$B$73,0)),"")</f>
        <v/>
      </c>
      <c r="J191" s="12" t="str">
        <f>IFERROR(INDEX('Master Pelanggaran'!$E$2:$E$73,MATCH(G191,'Master Pelanggaran'!$B$2:$B$73,0)),"")</f>
        <v/>
      </c>
      <c r="K191" s="12" t="str">
        <f>IF(C191="","",SUMIFS($J$5:J191,$C$5:C191,C191))</f>
        <v/>
      </c>
      <c r="L191" s="13" t="str">
        <f t="shared" si="11"/>
        <v/>
      </c>
      <c r="M191" s="12"/>
      <c r="N191" s="13"/>
    </row>
    <row r="192" spans="1:14" x14ac:dyDescent="0.25">
      <c r="A192" s="12" t="str">
        <f t="shared" si="10"/>
        <v/>
      </c>
      <c r="B192" s="12"/>
      <c r="C192" s="12"/>
      <c r="D192" s="12"/>
      <c r="E192" s="12"/>
      <c r="F192" s="12"/>
      <c r="G192" s="12"/>
      <c r="H192" s="13" t="str">
        <f>IFERROR(INDEX('Master Pelanggaran'!$D$2:$D$73,MATCH(G192,'Master Pelanggaran'!$B$2:$B$73,0)),"")</f>
        <v/>
      </c>
      <c r="I192" s="12" t="str">
        <f>IFERROR(INDEX('Master Pelanggaran'!$C$2:$C$73,MATCH(G192,'Master Pelanggaran'!$B$2:$B$73,0)),"")</f>
        <v/>
      </c>
      <c r="J192" s="12" t="str">
        <f>IFERROR(INDEX('Master Pelanggaran'!$E$2:$E$73,MATCH(G192,'Master Pelanggaran'!$B$2:$B$73,0)),"")</f>
        <v/>
      </c>
      <c r="K192" s="12" t="str">
        <f>IF(C192="","",SUMIFS($J$5:J192,$C$5:C192,C192))</f>
        <v/>
      </c>
      <c r="L192" s="13" t="str">
        <f t="shared" si="11"/>
        <v/>
      </c>
      <c r="M192" s="12"/>
      <c r="N192" s="13"/>
    </row>
    <row r="193" spans="1:14" x14ac:dyDescent="0.25">
      <c r="A193" s="12" t="str">
        <f t="shared" si="10"/>
        <v/>
      </c>
      <c r="B193" s="12"/>
      <c r="C193" s="12"/>
      <c r="D193" s="12"/>
      <c r="E193" s="12"/>
      <c r="F193" s="12"/>
      <c r="G193" s="12"/>
      <c r="H193" s="13" t="str">
        <f>IFERROR(INDEX('Master Pelanggaran'!$D$2:$D$73,MATCH(G193,'Master Pelanggaran'!$B$2:$B$73,0)),"")</f>
        <v/>
      </c>
      <c r="I193" s="12" t="str">
        <f>IFERROR(INDEX('Master Pelanggaran'!$C$2:$C$73,MATCH(G193,'Master Pelanggaran'!$B$2:$B$73,0)),"")</f>
        <v/>
      </c>
      <c r="J193" s="12" t="str">
        <f>IFERROR(INDEX('Master Pelanggaran'!$E$2:$E$73,MATCH(G193,'Master Pelanggaran'!$B$2:$B$73,0)),"")</f>
        <v/>
      </c>
      <c r="K193" s="12" t="str">
        <f>IF(C193="","",SUMIFS($J$5:J193,$C$5:C193,C193))</f>
        <v/>
      </c>
      <c r="L193" s="13" t="str">
        <f t="shared" si="11"/>
        <v/>
      </c>
      <c r="M193" s="12"/>
      <c r="N193" s="13"/>
    </row>
    <row r="194" spans="1:14" x14ac:dyDescent="0.25">
      <c r="A194" s="12" t="str">
        <f t="shared" si="10"/>
        <v/>
      </c>
      <c r="B194" s="12"/>
      <c r="C194" s="12"/>
      <c r="D194" s="12"/>
      <c r="E194" s="12"/>
      <c r="F194" s="12"/>
      <c r="G194" s="12"/>
      <c r="H194" s="13" t="str">
        <f>IFERROR(INDEX('Master Pelanggaran'!$D$2:$D$73,MATCH(G194,'Master Pelanggaran'!$B$2:$B$73,0)),"")</f>
        <v/>
      </c>
      <c r="I194" s="12" t="str">
        <f>IFERROR(INDEX('Master Pelanggaran'!$C$2:$C$73,MATCH(G194,'Master Pelanggaran'!$B$2:$B$73,0)),"")</f>
        <v/>
      </c>
      <c r="J194" s="12" t="str">
        <f>IFERROR(INDEX('Master Pelanggaran'!$E$2:$E$73,MATCH(G194,'Master Pelanggaran'!$B$2:$B$73,0)),"")</f>
        <v/>
      </c>
      <c r="K194" s="12" t="str">
        <f>IF(C194="","",SUMIFS($J$5:J194,$C$5:C194,C194))</f>
        <v/>
      </c>
      <c r="L194" s="13" t="str">
        <f t="shared" si="11"/>
        <v/>
      </c>
      <c r="M194" s="12"/>
      <c r="N194" s="13"/>
    </row>
    <row r="195" spans="1:14" x14ac:dyDescent="0.25">
      <c r="A195" s="12" t="str">
        <f t="shared" si="10"/>
        <v/>
      </c>
      <c r="B195" s="12"/>
      <c r="C195" s="12"/>
      <c r="D195" s="12"/>
      <c r="E195" s="12"/>
      <c r="F195" s="12"/>
      <c r="G195" s="12"/>
      <c r="H195" s="13" t="str">
        <f>IFERROR(INDEX('Master Pelanggaran'!$D$2:$D$73,MATCH(G195,'Master Pelanggaran'!$B$2:$B$73,0)),"")</f>
        <v/>
      </c>
      <c r="I195" s="12" t="str">
        <f>IFERROR(INDEX('Master Pelanggaran'!$C$2:$C$73,MATCH(G195,'Master Pelanggaran'!$B$2:$B$73,0)),"")</f>
        <v/>
      </c>
      <c r="J195" s="12" t="str">
        <f>IFERROR(INDEX('Master Pelanggaran'!$E$2:$E$73,MATCH(G195,'Master Pelanggaran'!$B$2:$B$73,0)),"")</f>
        <v/>
      </c>
      <c r="K195" s="12" t="str">
        <f>IF(C195="","",SUMIFS($J$5:J195,$C$5:C195,C195))</f>
        <v/>
      </c>
      <c r="L195" s="13" t="str">
        <f t="shared" si="11"/>
        <v/>
      </c>
      <c r="M195" s="12"/>
      <c r="N195" s="13"/>
    </row>
    <row r="196" spans="1:14" x14ac:dyDescent="0.25">
      <c r="A196" s="12" t="str">
        <f t="shared" si="10"/>
        <v/>
      </c>
      <c r="B196" s="12"/>
      <c r="C196" s="12"/>
      <c r="D196" s="12"/>
      <c r="E196" s="12"/>
      <c r="F196" s="12"/>
      <c r="G196" s="12"/>
      <c r="H196" s="13" t="str">
        <f>IFERROR(INDEX('Master Pelanggaran'!$D$2:$D$73,MATCH(G196,'Master Pelanggaran'!$B$2:$B$73,0)),"")</f>
        <v/>
      </c>
      <c r="I196" s="12" t="str">
        <f>IFERROR(INDEX('Master Pelanggaran'!$C$2:$C$73,MATCH(G196,'Master Pelanggaran'!$B$2:$B$73,0)),"")</f>
        <v/>
      </c>
      <c r="J196" s="12" t="str">
        <f>IFERROR(INDEX('Master Pelanggaran'!$E$2:$E$73,MATCH(G196,'Master Pelanggaran'!$B$2:$B$73,0)),"")</f>
        <v/>
      </c>
      <c r="K196" s="12" t="str">
        <f>IF(C196="","",SUMIFS($J$5:J196,$C$5:C196,C196))</f>
        <v/>
      </c>
      <c r="L196" s="13" t="str">
        <f t="shared" si="11"/>
        <v/>
      </c>
      <c r="M196" s="12"/>
      <c r="N196" s="13"/>
    </row>
    <row r="197" spans="1:14" x14ac:dyDescent="0.25">
      <c r="A197" s="12" t="str">
        <f t="shared" ref="A197:A204" si="12">IF(C197="","",ROW()-4)</f>
        <v/>
      </c>
      <c r="B197" s="12"/>
      <c r="C197" s="12"/>
      <c r="D197" s="12"/>
      <c r="E197" s="12"/>
      <c r="F197" s="12"/>
      <c r="G197" s="12"/>
      <c r="H197" s="13" t="str">
        <f>IFERROR(INDEX('Master Pelanggaran'!$D$2:$D$73,MATCH(G197,'Master Pelanggaran'!$B$2:$B$73,0)),"")</f>
        <v/>
      </c>
      <c r="I197" s="12" t="str">
        <f>IFERROR(INDEX('Master Pelanggaran'!$C$2:$C$73,MATCH(G197,'Master Pelanggaran'!$B$2:$B$73,0)),"")</f>
        <v/>
      </c>
      <c r="J197" s="12" t="str">
        <f>IFERROR(INDEX('Master Pelanggaran'!$E$2:$E$73,MATCH(G197,'Master Pelanggaran'!$B$2:$B$73,0)),"")</f>
        <v/>
      </c>
      <c r="K197" s="12" t="str">
        <f>IF(C197="","",SUMIFS($J$5:J197,$C$5:C197,C197))</f>
        <v/>
      </c>
      <c r="L197" s="13" t="str">
        <f t="shared" ref="L197:L228" si="13">IF(K197="","",IF(K197&gt;=100,"Dikembalikan ke orang tua",IF(K197&gt;=75,"Pemanggilan ortu (perjanjian); Pendampingan ahli; Wajib lapor shalat jama'ah; Larangan keluar 3 bulan",IF(K197&gt;=51,"Pemanggilan ortu (pernyataan); Digundul; Wajib lapor shalat 30 hari; Menghafal/menulis surat pilihan",IF(K197&gt;=35,"Pemanggilan ortu (peringatan); Digundul/jilbab pembinaan; Menghafal Juz 30/surat pilihan",IF(K197&gt;=21,"Pemberitahuan orang tua; Roan","Roan (Pembinaan)"))))))</f>
        <v/>
      </c>
      <c r="M197" s="12"/>
      <c r="N197" s="13"/>
    </row>
    <row r="198" spans="1:14" x14ac:dyDescent="0.25">
      <c r="A198" s="12" t="str">
        <f t="shared" si="12"/>
        <v/>
      </c>
      <c r="B198" s="12"/>
      <c r="C198" s="12"/>
      <c r="D198" s="12"/>
      <c r="E198" s="12"/>
      <c r="F198" s="12"/>
      <c r="G198" s="12"/>
      <c r="H198" s="13" t="str">
        <f>IFERROR(INDEX('Master Pelanggaran'!$D$2:$D$73,MATCH(G198,'Master Pelanggaran'!$B$2:$B$73,0)),"")</f>
        <v/>
      </c>
      <c r="I198" s="12" t="str">
        <f>IFERROR(INDEX('Master Pelanggaran'!$C$2:$C$73,MATCH(G198,'Master Pelanggaran'!$B$2:$B$73,0)),"")</f>
        <v/>
      </c>
      <c r="J198" s="12" t="str">
        <f>IFERROR(INDEX('Master Pelanggaran'!$E$2:$E$73,MATCH(G198,'Master Pelanggaran'!$B$2:$B$73,0)),"")</f>
        <v/>
      </c>
      <c r="K198" s="12" t="str">
        <f>IF(C198="","",SUMIFS($J$5:J198,$C$5:C198,C198))</f>
        <v/>
      </c>
      <c r="L198" s="13" t="str">
        <f t="shared" si="13"/>
        <v/>
      </c>
      <c r="M198" s="12"/>
      <c r="N198" s="13"/>
    </row>
    <row r="199" spans="1:14" x14ac:dyDescent="0.25">
      <c r="A199" s="12" t="str">
        <f t="shared" si="12"/>
        <v/>
      </c>
      <c r="B199" s="12"/>
      <c r="C199" s="12"/>
      <c r="D199" s="12"/>
      <c r="E199" s="12"/>
      <c r="F199" s="12"/>
      <c r="G199" s="12"/>
      <c r="H199" s="13" t="str">
        <f>IFERROR(INDEX('Master Pelanggaran'!$D$2:$D$73,MATCH(G199,'Master Pelanggaran'!$B$2:$B$73,0)),"")</f>
        <v/>
      </c>
      <c r="I199" s="12" t="str">
        <f>IFERROR(INDEX('Master Pelanggaran'!$C$2:$C$73,MATCH(G199,'Master Pelanggaran'!$B$2:$B$73,0)),"")</f>
        <v/>
      </c>
      <c r="J199" s="12" t="str">
        <f>IFERROR(INDEX('Master Pelanggaran'!$E$2:$E$73,MATCH(G199,'Master Pelanggaran'!$B$2:$B$73,0)),"")</f>
        <v/>
      </c>
      <c r="K199" s="12" t="str">
        <f>IF(C199="","",SUMIFS($J$5:J199,$C$5:C199,C199))</f>
        <v/>
      </c>
      <c r="L199" s="13" t="str">
        <f t="shared" si="13"/>
        <v/>
      </c>
      <c r="M199" s="12"/>
      <c r="N199" s="13"/>
    </row>
    <row r="200" spans="1:14" x14ac:dyDescent="0.25">
      <c r="A200" s="12" t="str">
        <f t="shared" si="12"/>
        <v/>
      </c>
      <c r="B200" s="12"/>
      <c r="C200" s="12"/>
      <c r="D200" s="12"/>
      <c r="E200" s="12"/>
      <c r="F200" s="12"/>
      <c r="G200" s="12"/>
      <c r="H200" s="13" t="str">
        <f>IFERROR(INDEX('Master Pelanggaran'!$D$2:$D$73,MATCH(G200,'Master Pelanggaran'!$B$2:$B$73,0)),"")</f>
        <v/>
      </c>
      <c r="I200" s="12" t="str">
        <f>IFERROR(INDEX('Master Pelanggaran'!$C$2:$C$73,MATCH(G200,'Master Pelanggaran'!$B$2:$B$73,0)),"")</f>
        <v/>
      </c>
      <c r="J200" s="12" t="str">
        <f>IFERROR(INDEX('Master Pelanggaran'!$E$2:$E$73,MATCH(G200,'Master Pelanggaran'!$B$2:$B$73,0)),"")</f>
        <v/>
      </c>
      <c r="K200" s="12" t="str">
        <f>IF(C200="","",SUMIFS($J$5:J200,$C$5:C200,C200))</f>
        <v/>
      </c>
      <c r="L200" s="13" t="str">
        <f t="shared" si="13"/>
        <v/>
      </c>
      <c r="M200" s="12"/>
      <c r="N200" s="13"/>
    </row>
    <row r="201" spans="1:14" x14ac:dyDescent="0.25">
      <c r="A201" s="12" t="str">
        <f t="shared" si="12"/>
        <v/>
      </c>
      <c r="B201" s="12"/>
      <c r="C201" s="12"/>
      <c r="D201" s="12"/>
      <c r="E201" s="12"/>
      <c r="F201" s="12"/>
      <c r="G201" s="12"/>
      <c r="H201" s="13" t="str">
        <f>IFERROR(INDEX('Master Pelanggaran'!$D$2:$D$73,MATCH(G201,'Master Pelanggaran'!$B$2:$B$73,0)),"")</f>
        <v/>
      </c>
      <c r="I201" s="12" t="str">
        <f>IFERROR(INDEX('Master Pelanggaran'!$C$2:$C$73,MATCH(G201,'Master Pelanggaran'!$B$2:$B$73,0)),"")</f>
        <v/>
      </c>
      <c r="J201" s="12" t="str">
        <f>IFERROR(INDEX('Master Pelanggaran'!$E$2:$E$73,MATCH(G201,'Master Pelanggaran'!$B$2:$B$73,0)),"")</f>
        <v/>
      </c>
      <c r="K201" s="12" t="str">
        <f>IF(C201="","",SUMIFS($J$5:J201,$C$5:C201,C201))</f>
        <v/>
      </c>
      <c r="L201" s="13" t="str">
        <f t="shared" si="13"/>
        <v/>
      </c>
      <c r="M201" s="12"/>
      <c r="N201" s="13"/>
    </row>
    <row r="202" spans="1:14" x14ac:dyDescent="0.25">
      <c r="A202" s="12" t="str">
        <f t="shared" si="12"/>
        <v/>
      </c>
      <c r="B202" s="12"/>
      <c r="C202" s="12"/>
      <c r="D202" s="12"/>
      <c r="E202" s="12"/>
      <c r="F202" s="12"/>
      <c r="G202" s="12"/>
      <c r="H202" s="13" t="str">
        <f>IFERROR(INDEX('Master Pelanggaran'!$D$2:$D$73,MATCH(G202,'Master Pelanggaran'!$B$2:$B$73,0)),"")</f>
        <v/>
      </c>
      <c r="I202" s="12" t="str">
        <f>IFERROR(INDEX('Master Pelanggaran'!$C$2:$C$73,MATCH(G202,'Master Pelanggaran'!$B$2:$B$73,0)),"")</f>
        <v/>
      </c>
      <c r="J202" s="12" t="str">
        <f>IFERROR(INDEX('Master Pelanggaran'!$E$2:$E$73,MATCH(G202,'Master Pelanggaran'!$B$2:$B$73,0)),"")</f>
        <v/>
      </c>
      <c r="K202" s="12" t="str">
        <f>IF(C202="","",SUMIFS($J$5:J202,$C$5:C202,C202))</f>
        <v/>
      </c>
      <c r="L202" s="13" t="str">
        <f t="shared" si="13"/>
        <v/>
      </c>
      <c r="M202" s="12"/>
      <c r="N202" s="13"/>
    </row>
    <row r="203" spans="1:14" x14ac:dyDescent="0.25">
      <c r="A203" s="12" t="str">
        <f t="shared" si="12"/>
        <v/>
      </c>
      <c r="B203" s="12"/>
      <c r="C203" s="12"/>
      <c r="D203" s="12"/>
      <c r="E203" s="12"/>
      <c r="F203" s="12"/>
      <c r="G203" s="12"/>
      <c r="H203" s="13" t="str">
        <f>IFERROR(INDEX('Master Pelanggaran'!$D$2:$D$73,MATCH(G203,'Master Pelanggaran'!$B$2:$B$73,0)),"")</f>
        <v/>
      </c>
      <c r="I203" s="12" t="str">
        <f>IFERROR(INDEX('Master Pelanggaran'!$C$2:$C$73,MATCH(G203,'Master Pelanggaran'!$B$2:$B$73,0)),"")</f>
        <v/>
      </c>
      <c r="J203" s="12" t="str">
        <f>IFERROR(INDEX('Master Pelanggaran'!$E$2:$E$73,MATCH(G203,'Master Pelanggaran'!$B$2:$B$73,0)),"")</f>
        <v/>
      </c>
      <c r="K203" s="12" t="str">
        <f>IF(C203="","",SUMIFS($J$5:J203,$C$5:C203,C203))</f>
        <v/>
      </c>
      <c r="L203" s="13" t="str">
        <f t="shared" si="13"/>
        <v/>
      </c>
      <c r="M203" s="12"/>
      <c r="N203" s="13"/>
    </row>
    <row r="204" spans="1:14" x14ac:dyDescent="0.25">
      <c r="A204" s="12" t="str">
        <f t="shared" si="12"/>
        <v/>
      </c>
      <c r="B204" s="12"/>
      <c r="C204" s="12"/>
      <c r="D204" s="12"/>
      <c r="E204" s="12"/>
      <c r="F204" s="12"/>
      <c r="G204" s="12"/>
      <c r="H204" s="13" t="str">
        <f>IFERROR(INDEX('Master Pelanggaran'!$D$2:$D$73,MATCH(G204,'Master Pelanggaran'!$B$2:$B$73,0)),"")</f>
        <v/>
      </c>
      <c r="I204" s="12" t="str">
        <f>IFERROR(INDEX('Master Pelanggaran'!$C$2:$C$73,MATCH(G204,'Master Pelanggaran'!$B$2:$B$73,0)),"")</f>
        <v/>
      </c>
      <c r="J204" s="12" t="str">
        <f>IFERROR(INDEX('Master Pelanggaran'!$E$2:$E$73,MATCH(G204,'Master Pelanggaran'!$B$2:$B$73,0)),"")</f>
        <v/>
      </c>
      <c r="K204" s="12" t="str">
        <f>IF(C204="","",SUMIFS($J$5:J204,$C$5:C204,C204))</f>
        <v/>
      </c>
      <c r="L204" s="13" t="str">
        <f t="shared" si="13"/>
        <v/>
      </c>
      <c r="M204" s="12"/>
      <c r="N204" s="13"/>
    </row>
  </sheetData>
  <mergeCells count="2">
    <mergeCell ref="A1:N1"/>
    <mergeCell ref="A2:N2"/>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200-000000000000}">
          <x14:formula1>
            <xm:f>'Master Pelanggaran'!$B$2:$B$73</xm:f>
          </x14:formula1>
          <x14:formula2>
            <xm:f>0</xm:f>
          </x14:formula2>
          <xm:sqref>G5:G204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zoomScaleNormal="100" workbookViewId="0"/>
  </sheetViews>
  <sheetFormatPr defaultColWidth="8.7109375" defaultRowHeight="15" x14ac:dyDescent="0.25"/>
  <cols>
    <col min="1" max="1" width="28" customWidth="1"/>
    <col min="2" max="2" width="90" customWidth="1"/>
  </cols>
  <sheetData>
    <row r="1" spans="1:2" ht="18" x14ac:dyDescent="0.25">
      <c r="A1" s="2" t="s">
        <v>191</v>
      </c>
      <c r="B1" s="2"/>
    </row>
    <row r="3" spans="1:2" ht="60" customHeight="1" x14ac:dyDescent="0.25">
      <c r="A3" s="14" t="s">
        <v>192</v>
      </c>
      <c r="B3" s="13" t="s">
        <v>193</v>
      </c>
    </row>
    <row r="5" spans="1:2" ht="60" customHeight="1" x14ac:dyDescent="0.25">
      <c r="A5" s="14" t="s">
        <v>194</v>
      </c>
      <c r="B5" s="13" t="s">
        <v>195</v>
      </c>
    </row>
    <row r="7" spans="1:2" ht="60" customHeight="1" x14ac:dyDescent="0.25">
      <c r="A7" s="14" t="s">
        <v>196</v>
      </c>
      <c r="B7" s="13" t="s">
        <v>197</v>
      </c>
    </row>
    <row r="9" spans="1:2" ht="60" customHeight="1" x14ac:dyDescent="0.25">
      <c r="A9" s="14" t="s">
        <v>198</v>
      </c>
      <c r="B9" s="13" t="s">
        <v>199</v>
      </c>
    </row>
    <row r="11" spans="1:2" ht="60" customHeight="1" x14ac:dyDescent="0.25">
      <c r="A11" s="14" t="s">
        <v>1</v>
      </c>
      <c r="B11" s="13" t="s">
        <v>200</v>
      </c>
    </row>
    <row r="13" spans="1:2" ht="60" customHeight="1" x14ac:dyDescent="0.25">
      <c r="A13" s="14" t="s">
        <v>201</v>
      </c>
      <c r="B13" s="13" t="s">
        <v>202</v>
      </c>
    </row>
  </sheetData>
  <mergeCells count="1">
    <mergeCell ref="A1:B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 Pelanggaran</vt:lpstr>
      <vt:lpstr>Tabel Sanksi</vt:lpstr>
      <vt:lpstr>Input Pelanggaran Santri</vt:lpstr>
      <vt:lpstr>Panduan Penggunaan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HASAN AZIZ</cp:lastModifiedBy>
  <cp:revision>0</cp:revision>
  <dcterms:created xsi:type="dcterms:W3CDTF">2026-07-25T15:11:58Z</dcterms:created>
  <dcterms:modified xsi:type="dcterms:W3CDTF">2026-07-25T15:14:17Z</dcterms:modified>
  <dc:language>en-US</dc:language>
</cp:coreProperties>
</file>